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projeto_meteorologia\output\"/>
    </mc:Choice>
  </mc:AlternateContent>
  <xr:revisionPtr revIDLastSave="0" documentId="13_ncr:1_{8D9D575F-C3B8-493E-90BF-E4E9ABC53802}" xr6:coauthVersionLast="47" xr6:coauthVersionMax="47" xr10:uidLastSave="{00000000-0000-0000-0000-000000000000}"/>
  <bookViews>
    <workbookView xWindow="-108" yWindow="-108" windowWidth="23256" windowHeight="12456" xr2:uid="{7F6B33A3-E50A-47C1-A483-FDAE1677D9AD}"/>
  </bookViews>
  <sheets>
    <sheet name="dados" sheetId="1" r:id="rId1"/>
    <sheet name="tabela_e_med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2" l="1"/>
  <c r="O32" i="2"/>
  <c r="P32" i="2"/>
  <c r="M32" i="2"/>
  <c r="L24" i="2"/>
  <c r="M24" i="2"/>
  <c r="N24" i="2"/>
  <c r="O24" i="2"/>
  <c r="P24" i="2"/>
  <c r="L25" i="2"/>
  <c r="M25" i="2"/>
  <c r="N25" i="2"/>
  <c r="O25" i="2"/>
  <c r="P25" i="2"/>
  <c r="L26" i="2"/>
  <c r="M26" i="2"/>
  <c r="N26" i="2"/>
  <c r="O26" i="2"/>
  <c r="P26" i="2"/>
  <c r="L27" i="2"/>
  <c r="L28" i="2" s="1"/>
  <c r="L29" i="2" s="1"/>
  <c r="L30" i="2" s="1"/>
  <c r="M27" i="2"/>
  <c r="N27" i="2"/>
  <c r="O27" i="2"/>
  <c r="P27" i="2"/>
  <c r="M28" i="2"/>
  <c r="N28" i="2"/>
  <c r="O28" i="2"/>
  <c r="P28" i="2"/>
  <c r="M29" i="2"/>
  <c r="N29" i="2"/>
  <c r="O29" i="2"/>
  <c r="P29" i="2"/>
  <c r="M30" i="2"/>
  <c r="N30" i="2"/>
  <c r="O30" i="2"/>
  <c r="P30" i="2"/>
  <c r="P23" i="2"/>
  <c r="O23" i="2"/>
  <c r="N23" i="2"/>
  <c r="M23" i="2"/>
  <c r="P22" i="2"/>
  <c r="O22" i="2"/>
  <c r="N22" i="2"/>
  <c r="M22" i="2"/>
  <c r="P21" i="2"/>
  <c r="O21" i="2"/>
  <c r="N21" i="2"/>
  <c r="M21" i="2"/>
  <c r="P20" i="2"/>
  <c r="O20" i="2"/>
  <c r="N20" i="2"/>
  <c r="M20" i="2"/>
  <c r="P19" i="2"/>
  <c r="O19" i="2"/>
  <c r="N19" i="2"/>
  <c r="M19" i="2"/>
  <c r="P18" i="2"/>
  <c r="O18" i="2"/>
  <c r="N18" i="2"/>
  <c r="M18" i="2"/>
  <c r="P17" i="2"/>
  <c r="O17" i="2"/>
  <c r="N17" i="2"/>
  <c r="M17" i="2"/>
  <c r="P16" i="2"/>
  <c r="O16" i="2"/>
  <c r="N16" i="2"/>
  <c r="M16" i="2"/>
  <c r="P15" i="2"/>
  <c r="O15" i="2"/>
  <c r="N15" i="2"/>
  <c r="M15" i="2"/>
  <c r="P14" i="2"/>
  <c r="O14" i="2"/>
  <c r="N14" i="2"/>
  <c r="M14" i="2"/>
  <c r="P13" i="2"/>
  <c r="O13" i="2"/>
  <c r="N13" i="2"/>
  <c r="M13" i="2"/>
  <c r="P12" i="2"/>
  <c r="O12" i="2"/>
  <c r="N12" i="2"/>
  <c r="M12" i="2"/>
  <c r="P11" i="2"/>
  <c r="O11" i="2"/>
  <c r="N11" i="2"/>
  <c r="M11" i="2"/>
  <c r="P10" i="2"/>
  <c r="O10" i="2"/>
  <c r="N10" i="2"/>
  <c r="M10" i="2"/>
  <c r="P9" i="2"/>
  <c r="O9" i="2"/>
  <c r="N9" i="2"/>
  <c r="M9" i="2"/>
  <c r="P8" i="2"/>
  <c r="O8" i="2"/>
  <c r="N8" i="2"/>
  <c r="M8" i="2"/>
  <c r="P7" i="2"/>
  <c r="O7" i="2"/>
  <c r="N7" i="2"/>
  <c r="M7" i="2"/>
  <c r="P6" i="2"/>
  <c r="O6" i="2"/>
  <c r="N6" i="2"/>
  <c r="M6" i="2"/>
  <c r="P5" i="2"/>
  <c r="O5" i="2"/>
  <c r="N5" i="2"/>
  <c r="M5" i="2"/>
  <c r="P4" i="2"/>
  <c r="O4" i="2"/>
  <c r="N4" i="2"/>
  <c r="M4" i="2"/>
  <c r="L4" i="2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P3" i="2"/>
  <c r="O3" i="2"/>
  <c r="N3" i="2"/>
  <c r="M3" i="2"/>
  <c r="C4" i="2"/>
  <c r="D4" i="2"/>
  <c r="E4" i="2"/>
  <c r="F4" i="2"/>
  <c r="G4" i="2"/>
  <c r="H4" i="2"/>
  <c r="I4" i="2"/>
  <c r="J4" i="2"/>
  <c r="C5" i="2"/>
  <c r="D5" i="2"/>
  <c r="E5" i="2"/>
  <c r="F5" i="2"/>
  <c r="G5" i="2"/>
  <c r="H5" i="2"/>
  <c r="I5" i="2"/>
  <c r="J5" i="2"/>
  <c r="C6" i="2"/>
  <c r="D6" i="2"/>
  <c r="E6" i="2"/>
  <c r="F6" i="2"/>
  <c r="G6" i="2"/>
  <c r="H6" i="2"/>
  <c r="I6" i="2"/>
  <c r="J6" i="2"/>
  <c r="C7" i="2"/>
  <c r="D7" i="2"/>
  <c r="E7" i="2"/>
  <c r="F7" i="2"/>
  <c r="G7" i="2"/>
  <c r="H7" i="2"/>
  <c r="I7" i="2"/>
  <c r="J7" i="2"/>
  <c r="C8" i="2"/>
  <c r="D8" i="2"/>
  <c r="E8" i="2"/>
  <c r="F8" i="2"/>
  <c r="G8" i="2"/>
  <c r="H8" i="2"/>
  <c r="I8" i="2"/>
  <c r="J8" i="2"/>
  <c r="C9" i="2"/>
  <c r="D9" i="2"/>
  <c r="E9" i="2"/>
  <c r="F9" i="2"/>
  <c r="G9" i="2"/>
  <c r="H9" i="2"/>
  <c r="I9" i="2"/>
  <c r="J9" i="2"/>
  <c r="C10" i="2"/>
  <c r="D10" i="2"/>
  <c r="E10" i="2"/>
  <c r="F10" i="2"/>
  <c r="G10" i="2"/>
  <c r="H10" i="2"/>
  <c r="I10" i="2"/>
  <c r="J10" i="2"/>
  <c r="C11" i="2"/>
  <c r="D11" i="2"/>
  <c r="E11" i="2"/>
  <c r="F11" i="2"/>
  <c r="G11" i="2"/>
  <c r="H11" i="2"/>
  <c r="I11" i="2"/>
  <c r="J11" i="2"/>
  <c r="C12" i="2"/>
  <c r="D12" i="2"/>
  <c r="E12" i="2"/>
  <c r="F12" i="2"/>
  <c r="G12" i="2"/>
  <c r="H12" i="2"/>
  <c r="I12" i="2"/>
  <c r="J12" i="2"/>
  <c r="C13" i="2"/>
  <c r="D13" i="2"/>
  <c r="E13" i="2"/>
  <c r="F13" i="2"/>
  <c r="G13" i="2"/>
  <c r="H13" i="2"/>
  <c r="I13" i="2"/>
  <c r="J13" i="2"/>
  <c r="C14" i="2"/>
  <c r="D14" i="2"/>
  <c r="E14" i="2"/>
  <c r="F14" i="2"/>
  <c r="G14" i="2"/>
  <c r="H14" i="2"/>
  <c r="I14" i="2"/>
  <c r="J14" i="2"/>
  <c r="C15" i="2"/>
  <c r="D15" i="2"/>
  <c r="E15" i="2"/>
  <c r="F15" i="2"/>
  <c r="G15" i="2"/>
  <c r="H15" i="2"/>
  <c r="I15" i="2"/>
  <c r="J15" i="2"/>
  <c r="C16" i="2"/>
  <c r="D16" i="2"/>
  <c r="E16" i="2"/>
  <c r="F16" i="2"/>
  <c r="G16" i="2"/>
  <c r="H16" i="2"/>
  <c r="I16" i="2"/>
  <c r="J16" i="2"/>
  <c r="C17" i="2"/>
  <c r="D17" i="2"/>
  <c r="E17" i="2"/>
  <c r="F17" i="2"/>
  <c r="G17" i="2"/>
  <c r="H17" i="2"/>
  <c r="I17" i="2"/>
  <c r="J17" i="2"/>
  <c r="C18" i="2"/>
  <c r="D18" i="2"/>
  <c r="E18" i="2"/>
  <c r="F18" i="2"/>
  <c r="G18" i="2"/>
  <c r="H18" i="2"/>
  <c r="I18" i="2"/>
  <c r="J18" i="2"/>
  <c r="C19" i="2"/>
  <c r="D19" i="2"/>
  <c r="E19" i="2"/>
  <c r="F19" i="2"/>
  <c r="G19" i="2"/>
  <c r="H19" i="2"/>
  <c r="I19" i="2"/>
  <c r="J19" i="2"/>
  <c r="C20" i="2"/>
  <c r="D20" i="2"/>
  <c r="E20" i="2"/>
  <c r="F20" i="2"/>
  <c r="G20" i="2"/>
  <c r="H20" i="2"/>
  <c r="I20" i="2"/>
  <c r="J20" i="2"/>
  <c r="C21" i="2"/>
  <c r="D21" i="2"/>
  <c r="E21" i="2"/>
  <c r="F21" i="2"/>
  <c r="G21" i="2"/>
  <c r="H21" i="2"/>
  <c r="I21" i="2"/>
  <c r="J21" i="2"/>
  <c r="C22" i="2"/>
  <c r="D22" i="2"/>
  <c r="E22" i="2"/>
  <c r="F22" i="2"/>
  <c r="G22" i="2"/>
  <c r="H22" i="2"/>
  <c r="I22" i="2"/>
  <c r="J22" i="2"/>
  <c r="C23" i="2"/>
  <c r="D23" i="2"/>
  <c r="E23" i="2"/>
  <c r="F23" i="2"/>
  <c r="G23" i="2"/>
  <c r="H23" i="2"/>
  <c r="I23" i="2"/>
  <c r="J23" i="2"/>
  <c r="C24" i="2"/>
  <c r="D24" i="2"/>
  <c r="E24" i="2"/>
  <c r="F24" i="2"/>
  <c r="G24" i="2"/>
  <c r="H24" i="2"/>
  <c r="I24" i="2"/>
  <c r="J24" i="2"/>
  <c r="C25" i="2"/>
  <c r="D25" i="2"/>
  <c r="E25" i="2"/>
  <c r="F25" i="2"/>
  <c r="G25" i="2"/>
  <c r="H25" i="2"/>
  <c r="I25" i="2"/>
  <c r="J25" i="2"/>
  <c r="C26" i="2"/>
  <c r="D26" i="2"/>
  <c r="E26" i="2"/>
  <c r="F26" i="2"/>
  <c r="G26" i="2"/>
  <c r="H26" i="2"/>
  <c r="I26" i="2"/>
  <c r="J26" i="2"/>
  <c r="C27" i="2"/>
  <c r="D27" i="2"/>
  <c r="E27" i="2"/>
  <c r="F27" i="2"/>
  <c r="G27" i="2"/>
  <c r="H27" i="2"/>
  <c r="I27" i="2"/>
  <c r="J27" i="2"/>
  <c r="C28" i="2"/>
  <c r="D28" i="2"/>
  <c r="E28" i="2"/>
  <c r="F28" i="2"/>
  <c r="G28" i="2"/>
  <c r="H28" i="2"/>
  <c r="I28" i="2"/>
  <c r="J28" i="2"/>
  <c r="C29" i="2"/>
  <c r="D29" i="2"/>
  <c r="E29" i="2"/>
  <c r="F29" i="2"/>
  <c r="G29" i="2"/>
  <c r="H29" i="2"/>
  <c r="I29" i="2"/>
  <c r="J29" i="2"/>
  <c r="C30" i="2"/>
  <c r="D30" i="2"/>
  <c r="E30" i="2"/>
  <c r="F30" i="2"/>
  <c r="G30" i="2"/>
  <c r="H30" i="2"/>
  <c r="I30" i="2"/>
  <c r="J30" i="2"/>
  <c r="J3" i="2"/>
  <c r="I3" i="2"/>
  <c r="H3" i="2"/>
  <c r="G3" i="2"/>
  <c r="F3" i="2"/>
  <c r="E3" i="2"/>
  <c r="D3" i="2"/>
  <c r="C3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sharedStrings.xml><?xml version="1.0" encoding="utf-8"?>
<sst xmlns="http://schemas.openxmlformats.org/spreadsheetml/2006/main" count="32" uniqueCount="16">
  <si>
    <t>dez(ano anterior)</t>
  </si>
  <si>
    <t>jan</t>
  </si>
  <si>
    <t>fev</t>
  </si>
  <si>
    <t>mar</t>
  </si>
  <si>
    <t>mai</t>
  </si>
  <si>
    <t>jun</t>
  </si>
  <si>
    <t>jul</t>
  </si>
  <si>
    <t>ago</t>
  </si>
  <si>
    <t>insolacao</t>
  </si>
  <si>
    <t>dez-fev</t>
  </si>
  <si>
    <t>jan-mar</t>
  </si>
  <si>
    <t>mai-jul</t>
  </si>
  <si>
    <t>jun-ago</t>
  </si>
  <si>
    <t>valores(W/m²)/ano</t>
  </si>
  <si>
    <t>media final (W/m²)</t>
  </si>
  <si>
    <t>valores(cal/cm².d)/ano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</si>
</sst>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2ABA-53F6-46E2-85A0-2214B4E3DD55}">
  <dimension ref="B2:R30"/>
  <sheetViews>
    <sheetView tabSelected="1" workbookViewId="0">
      <selection activeCell="B3" sqref="B3"/>
    </sheetView>
  </sheetViews>
  <sheetFormatPr defaultRowHeight="14.4" x14ac:dyDescent="0.3"/>
  <cols>
    <col min="2" max="2" width="16.88671875" customWidth="1"/>
    <col min="3" max="3" width="17" customWidth="1"/>
  </cols>
  <sheetData>
    <row r="2" spans="2:18" ht="28.8" x14ac:dyDescent="0.3">
      <c r="B2" s="2" t="s">
        <v>15</v>
      </c>
      <c r="C2" s="1" t="s">
        <v>0</v>
      </c>
      <c r="D2" s="1" t="s">
        <v>8</v>
      </c>
      <c r="E2" s="1" t="s">
        <v>1</v>
      </c>
      <c r="F2" s="1" t="s">
        <v>8</v>
      </c>
      <c r="G2" s="1" t="s">
        <v>2</v>
      </c>
      <c r="H2" s="1" t="s">
        <v>8</v>
      </c>
      <c r="I2" s="1" t="s">
        <v>3</v>
      </c>
      <c r="J2" s="1" t="s">
        <v>8</v>
      </c>
      <c r="K2" s="1" t="s">
        <v>4</v>
      </c>
      <c r="L2" s="1" t="s">
        <v>8</v>
      </c>
      <c r="M2" s="1" t="s">
        <v>5</v>
      </c>
      <c r="N2" s="1" t="s">
        <v>8</v>
      </c>
      <c r="O2" s="1" t="s">
        <v>6</v>
      </c>
      <c r="P2" s="1" t="s">
        <v>8</v>
      </c>
      <c r="Q2" s="1" t="s">
        <v>7</v>
      </c>
      <c r="R2" s="1" t="s">
        <v>8</v>
      </c>
    </row>
    <row r="3" spans="2:18" x14ac:dyDescent="0.3">
      <c r="B3">
        <v>1998</v>
      </c>
      <c r="C3" s="6">
        <v>479.42</v>
      </c>
      <c r="D3" s="7">
        <v>6.68</v>
      </c>
      <c r="E3" s="6">
        <v>457.52</v>
      </c>
      <c r="F3" s="7">
        <v>6.49</v>
      </c>
      <c r="G3" s="6">
        <v>416.21</v>
      </c>
      <c r="H3" s="7">
        <v>4.84</v>
      </c>
      <c r="I3" s="6">
        <v>379.87</v>
      </c>
      <c r="J3" s="7">
        <v>6.04</v>
      </c>
      <c r="K3" s="6">
        <v>293</v>
      </c>
      <c r="L3" s="7">
        <v>6.17</v>
      </c>
      <c r="M3" s="6">
        <v>278.60000000000002</v>
      </c>
      <c r="N3" s="7">
        <v>6.69</v>
      </c>
      <c r="O3" s="6">
        <v>298.74</v>
      </c>
      <c r="P3" s="7">
        <v>7.24</v>
      </c>
      <c r="Q3" s="6">
        <v>310</v>
      </c>
      <c r="R3" s="7">
        <v>6.22</v>
      </c>
    </row>
    <row r="4" spans="2:18" x14ac:dyDescent="0.3">
      <c r="B4">
        <f>B3+1</f>
        <v>1999</v>
      </c>
      <c r="C4" s="6">
        <v>441.03</v>
      </c>
      <c r="D4" s="7">
        <v>6.06</v>
      </c>
      <c r="E4" s="6">
        <v>383.06</v>
      </c>
      <c r="F4" s="7">
        <v>4.91</v>
      </c>
      <c r="G4" s="6">
        <v>410.04</v>
      </c>
      <c r="H4" s="7">
        <v>5.37</v>
      </c>
      <c r="I4" s="6">
        <v>428.87</v>
      </c>
      <c r="J4" s="7">
        <v>7.7</v>
      </c>
      <c r="K4" s="6">
        <v>327.74</v>
      </c>
      <c r="L4" s="7">
        <v>7.45</v>
      </c>
      <c r="M4" s="6">
        <v>257.17</v>
      </c>
      <c r="N4" s="7">
        <v>5.98</v>
      </c>
      <c r="O4" s="6">
        <v>289</v>
      </c>
      <c r="P4" s="7">
        <v>6.7</v>
      </c>
      <c r="Q4" s="6">
        <v>374.52</v>
      </c>
      <c r="R4" s="7">
        <v>8.3699999999999992</v>
      </c>
    </row>
    <row r="5" spans="2:18" x14ac:dyDescent="0.3">
      <c r="B5">
        <f t="shared" ref="B5:B30" si="0">B4+1</f>
        <v>2000</v>
      </c>
      <c r="C5" s="6">
        <v>507.87</v>
      </c>
      <c r="D5" s="7">
        <v>7.23</v>
      </c>
      <c r="E5" s="6">
        <v>463.99</v>
      </c>
      <c r="F5" s="7">
        <v>6.37</v>
      </c>
      <c r="G5" s="6">
        <v>450.1</v>
      </c>
      <c r="H5" s="7">
        <v>5.49</v>
      </c>
      <c r="I5" s="6">
        <v>410.52</v>
      </c>
      <c r="J5" s="7">
        <v>5.42</v>
      </c>
      <c r="K5" s="6">
        <v>347.32</v>
      </c>
      <c r="L5" s="7">
        <v>7.36</v>
      </c>
      <c r="M5" s="6">
        <v>304.37</v>
      </c>
      <c r="N5" s="7">
        <v>6.68</v>
      </c>
      <c r="O5" s="6">
        <v>320.42</v>
      </c>
      <c r="P5" s="7">
        <v>6.47</v>
      </c>
      <c r="Q5" s="6">
        <v>324.35000000000002</v>
      </c>
      <c r="R5" s="7">
        <v>5.74</v>
      </c>
    </row>
    <row r="6" spans="2:18" x14ac:dyDescent="0.3">
      <c r="B6">
        <f t="shared" si="0"/>
        <v>2001</v>
      </c>
      <c r="C6" s="6">
        <v>447.94</v>
      </c>
      <c r="D6" s="7">
        <v>5.63</v>
      </c>
      <c r="E6" s="6">
        <v>508.9</v>
      </c>
      <c r="F6" s="7">
        <v>7.43</v>
      </c>
      <c r="G6" s="6">
        <v>457.21</v>
      </c>
      <c r="H6" s="7">
        <v>6.18</v>
      </c>
      <c r="I6" s="6">
        <v>449.55</v>
      </c>
      <c r="J6" s="7">
        <v>6.97</v>
      </c>
      <c r="K6" s="6">
        <v>316.10000000000002</v>
      </c>
      <c r="L6" s="7">
        <v>6.12</v>
      </c>
      <c r="M6" s="6">
        <v>281.57</v>
      </c>
      <c r="N6" s="7">
        <v>5.67</v>
      </c>
      <c r="O6" s="6">
        <v>305.13</v>
      </c>
      <c r="P6" s="7">
        <v>5.89</v>
      </c>
      <c r="Q6" s="6">
        <v>390.74</v>
      </c>
      <c r="R6" s="7">
        <v>7.35</v>
      </c>
    </row>
    <row r="7" spans="2:18" x14ac:dyDescent="0.3">
      <c r="B7">
        <f t="shared" si="0"/>
        <v>2002</v>
      </c>
      <c r="C7" s="6">
        <v>427.29</v>
      </c>
      <c r="D7" s="7">
        <v>5.43</v>
      </c>
      <c r="E7" s="6">
        <v>409.87</v>
      </c>
      <c r="F7" s="7">
        <v>4.75</v>
      </c>
      <c r="G7" s="6">
        <v>404.11</v>
      </c>
      <c r="H7" s="7">
        <v>5.0999999999999996</v>
      </c>
      <c r="I7" s="6">
        <v>461.97</v>
      </c>
      <c r="J7" s="7">
        <v>7.92</v>
      </c>
      <c r="K7" s="6">
        <v>297.97000000000003</v>
      </c>
      <c r="L7" s="7">
        <v>6.06</v>
      </c>
      <c r="M7" s="6">
        <v>307.37</v>
      </c>
      <c r="N7" s="7">
        <v>7.41</v>
      </c>
      <c r="O7" s="6">
        <v>266.97000000000003</v>
      </c>
      <c r="P7" s="7">
        <v>6.02</v>
      </c>
      <c r="Q7" s="6">
        <v>316.77</v>
      </c>
      <c r="R7" s="7">
        <v>6.72</v>
      </c>
    </row>
    <row r="8" spans="2:18" x14ac:dyDescent="0.3">
      <c r="B8">
        <f t="shared" si="0"/>
        <v>2003</v>
      </c>
      <c r="C8" s="6">
        <v>460.74</v>
      </c>
      <c r="D8" s="7">
        <v>6</v>
      </c>
      <c r="E8" s="6">
        <v>362.1</v>
      </c>
      <c r="F8" s="7">
        <v>4.24</v>
      </c>
      <c r="G8" s="6">
        <v>458.39</v>
      </c>
      <c r="H8" s="7">
        <v>7.27</v>
      </c>
      <c r="I8" s="6">
        <v>410.29</v>
      </c>
      <c r="J8" s="7">
        <v>6.13</v>
      </c>
      <c r="K8" s="6">
        <v>323.77</v>
      </c>
      <c r="L8" s="7">
        <v>7.34</v>
      </c>
      <c r="M8" s="6">
        <v>294.37</v>
      </c>
      <c r="N8" s="7">
        <v>6.95</v>
      </c>
      <c r="O8" s="6">
        <v>290</v>
      </c>
      <c r="P8" s="7">
        <v>6.67</v>
      </c>
      <c r="Q8" s="6">
        <v>332.19</v>
      </c>
      <c r="R8" s="7">
        <v>6.61</v>
      </c>
    </row>
    <row r="9" spans="2:18" x14ac:dyDescent="0.3">
      <c r="B9">
        <f t="shared" si="0"/>
        <v>2004</v>
      </c>
      <c r="C9" s="6">
        <v>455.94</v>
      </c>
      <c r="D9" s="7">
        <v>6.39</v>
      </c>
      <c r="E9" s="6">
        <v>371.13</v>
      </c>
      <c r="F9" s="7">
        <v>4.43</v>
      </c>
      <c r="G9" s="6">
        <v>421.97</v>
      </c>
      <c r="H9" s="7">
        <v>6.11</v>
      </c>
      <c r="I9" s="6">
        <v>419.65</v>
      </c>
      <c r="J9" s="7">
        <v>7.06</v>
      </c>
      <c r="K9" s="6">
        <v>268.97000000000003</v>
      </c>
      <c r="L9" s="7">
        <v>4.96</v>
      </c>
      <c r="M9" s="6">
        <v>258.07</v>
      </c>
      <c r="N9" s="7">
        <v>5.3</v>
      </c>
      <c r="O9" s="6">
        <v>280.45</v>
      </c>
      <c r="P9" s="7">
        <v>5.57</v>
      </c>
      <c r="Q9" s="6">
        <v>398.61</v>
      </c>
      <c r="R9" s="7">
        <v>8.0299999999999994</v>
      </c>
    </row>
    <row r="10" spans="2:18" x14ac:dyDescent="0.3">
      <c r="B10">
        <f t="shared" si="0"/>
        <v>2005</v>
      </c>
      <c r="C10" s="6">
        <v>438.45</v>
      </c>
      <c r="D10" s="7">
        <v>5.37</v>
      </c>
      <c r="E10" s="6">
        <v>362.81</v>
      </c>
      <c r="F10" s="7">
        <v>3.56</v>
      </c>
      <c r="G10" s="6">
        <v>508.64</v>
      </c>
      <c r="H10" s="7">
        <v>8.0399999999999991</v>
      </c>
      <c r="I10" s="6">
        <v>381.61</v>
      </c>
      <c r="J10" s="7">
        <v>5.24</v>
      </c>
      <c r="K10" s="6">
        <v>315.52</v>
      </c>
      <c r="L10" s="7">
        <v>6.71</v>
      </c>
      <c r="M10" s="6">
        <v>288.3</v>
      </c>
      <c r="N10" s="7">
        <v>6.15</v>
      </c>
      <c r="O10" s="6">
        <v>306.83999999999997</v>
      </c>
      <c r="P10" s="7">
        <v>6.29</v>
      </c>
      <c r="Q10" s="6">
        <v>386.35</v>
      </c>
      <c r="R10" s="7">
        <v>7.91</v>
      </c>
    </row>
    <row r="11" spans="2:18" x14ac:dyDescent="0.3">
      <c r="B11">
        <f t="shared" si="0"/>
        <v>2006</v>
      </c>
      <c r="C11" s="6">
        <v>450.77</v>
      </c>
      <c r="D11" s="7">
        <v>5.29</v>
      </c>
      <c r="E11" s="6">
        <v>451.61</v>
      </c>
      <c r="F11" s="7">
        <v>6.16</v>
      </c>
      <c r="G11" s="6">
        <v>411.96</v>
      </c>
      <c r="H11" s="7">
        <v>5</v>
      </c>
      <c r="I11" s="6">
        <v>418.06</v>
      </c>
      <c r="J11" s="7">
        <v>5.93</v>
      </c>
      <c r="K11" s="6">
        <v>319.58</v>
      </c>
      <c r="L11" s="7">
        <v>6.26</v>
      </c>
      <c r="M11" s="6">
        <v>284.87</v>
      </c>
      <c r="N11" s="7">
        <v>6.6</v>
      </c>
      <c r="O11" s="6">
        <v>272.74</v>
      </c>
      <c r="P11" s="7">
        <v>6.42</v>
      </c>
      <c r="Q11" s="6">
        <v>348.13</v>
      </c>
      <c r="R11" s="7">
        <v>7.37</v>
      </c>
    </row>
    <row r="12" spans="2:18" x14ac:dyDescent="0.3">
      <c r="B12">
        <f t="shared" si="0"/>
        <v>2007</v>
      </c>
      <c r="C12" s="6">
        <v>489.42</v>
      </c>
      <c r="D12" s="7">
        <v>5.96</v>
      </c>
      <c r="E12" s="6">
        <v>374.35</v>
      </c>
      <c r="F12" s="7">
        <v>3.79</v>
      </c>
      <c r="G12" s="6">
        <v>505.21</v>
      </c>
      <c r="H12" s="7">
        <v>7.26</v>
      </c>
      <c r="I12" s="6">
        <v>471.39</v>
      </c>
      <c r="J12" s="7">
        <v>7.65</v>
      </c>
      <c r="K12" s="6">
        <v>333.1</v>
      </c>
      <c r="L12" s="7">
        <v>6.81</v>
      </c>
      <c r="M12" s="6">
        <v>335.5</v>
      </c>
      <c r="N12" s="7">
        <v>8.07</v>
      </c>
      <c r="O12" s="6">
        <v>301.19</v>
      </c>
      <c r="P12" s="7">
        <v>6.56</v>
      </c>
      <c r="Q12" s="6">
        <v>407.26</v>
      </c>
      <c r="R12" s="7">
        <v>8.42</v>
      </c>
    </row>
    <row r="13" spans="2:18" x14ac:dyDescent="0.3">
      <c r="B13">
        <f t="shared" si="0"/>
        <v>2008</v>
      </c>
      <c r="C13" s="6">
        <v>526.70967741935488</v>
      </c>
      <c r="D13" s="7">
        <v>7.4612903225806466</v>
      </c>
      <c r="E13" s="6">
        <v>413.16</v>
      </c>
      <c r="F13" s="7">
        <v>4.34</v>
      </c>
      <c r="G13" s="6">
        <v>482.9</v>
      </c>
      <c r="H13" s="7">
        <v>6.13</v>
      </c>
      <c r="I13" s="6">
        <v>466.81</v>
      </c>
      <c r="J13" s="7">
        <v>7.22</v>
      </c>
      <c r="K13" s="6">
        <v>339.68</v>
      </c>
      <c r="L13" s="7">
        <v>6.92</v>
      </c>
      <c r="M13" s="6">
        <v>304.97000000000003</v>
      </c>
      <c r="N13" s="7">
        <v>6.41</v>
      </c>
      <c r="O13" s="6">
        <v>375.03225806451616</v>
      </c>
      <c r="P13" s="7">
        <v>8.6741935483870964</v>
      </c>
      <c r="Q13" s="6">
        <v>397</v>
      </c>
      <c r="R13" s="7">
        <v>7.7</v>
      </c>
    </row>
    <row r="14" spans="2:18" x14ac:dyDescent="0.3">
      <c r="B14">
        <f t="shared" si="0"/>
        <v>2009</v>
      </c>
      <c r="C14" s="6">
        <v>531.93548387096769</v>
      </c>
      <c r="D14" s="7">
        <v>7.349726721164779</v>
      </c>
      <c r="E14" s="6">
        <v>429.80645161290323</v>
      </c>
      <c r="F14" s="7">
        <v>4.6741935483870973</v>
      </c>
      <c r="G14" s="6">
        <v>457.5</v>
      </c>
      <c r="H14" s="7">
        <v>5.8</v>
      </c>
      <c r="I14" s="6">
        <v>457.42</v>
      </c>
      <c r="J14" s="7">
        <v>6.85</v>
      </c>
      <c r="K14" s="6">
        <v>357.22580645161293</v>
      </c>
      <c r="L14" s="7">
        <v>7.2290322580645157</v>
      </c>
      <c r="M14" s="6">
        <v>313.13</v>
      </c>
      <c r="N14" s="7">
        <v>6.5</v>
      </c>
      <c r="O14" s="6">
        <v>268</v>
      </c>
      <c r="P14" s="7">
        <v>4.8099999999999996</v>
      </c>
      <c r="Q14" s="6">
        <v>384</v>
      </c>
      <c r="R14" s="7">
        <v>7.08</v>
      </c>
    </row>
    <row r="15" spans="2:18" x14ac:dyDescent="0.3">
      <c r="B15">
        <f t="shared" si="0"/>
        <v>2010</v>
      </c>
      <c r="C15" s="6">
        <v>460.23</v>
      </c>
      <c r="D15" s="7">
        <v>5.54</v>
      </c>
      <c r="E15" s="6">
        <v>416.71</v>
      </c>
      <c r="F15" s="7">
        <v>4.6500000000000004</v>
      </c>
      <c r="G15" s="6">
        <v>509.21</v>
      </c>
      <c r="H15" s="7">
        <v>7.58</v>
      </c>
      <c r="I15" s="6">
        <v>425.45161290322579</v>
      </c>
      <c r="J15" s="7">
        <v>6.6129032258064511</v>
      </c>
      <c r="K15" s="6">
        <v>338.06451612903226</v>
      </c>
      <c r="L15" s="7">
        <v>7.1258064516129016</v>
      </c>
      <c r="M15" s="6">
        <v>351</v>
      </c>
      <c r="N15" s="7">
        <v>8.3466666666666676</v>
      </c>
      <c r="O15" s="6">
        <v>339.32258064516128</v>
      </c>
      <c r="P15" s="7">
        <v>7.5161290322580667</v>
      </c>
      <c r="Q15" s="6">
        <v>432.77419354838707</v>
      </c>
      <c r="R15" s="7">
        <v>8.7806451612903249</v>
      </c>
    </row>
    <row r="16" spans="2:18" x14ac:dyDescent="0.3">
      <c r="B16">
        <f t="shared" si="0"/>
        <v>2011</v>
      </c>
      <c r="C16" s="6">
        <v>482.09677419354841</v>
      </c>
      <c r="D16" s="7">
        <v>6.2548387096774194</v>
      </c>
      <c r="E16" s="6">
        <v>480.71</v>
      </c>
      <c r="F16" s="7">
        <v>6.27</v>
      </c>
      <c r="G16" s="6">
        <v>486.18</v>
      </c>
      <c r="H16" s="7">
        <v>7.1</v>
      </c>
      <c r="I16" s="6">
        <v>360.42</v>
      </c>
      <c r="J16" s="7">
        <v>4.3499999999999996</v>
      </c>
      <c r="K16" s="6">
        <v>349.26</v>
      </c>
      <c r="L16" s="7">
        <v>7.44</v>
      </c>
      <c r="M16" s="6">
        <v>327.3</v>
      </c>
      <c r="N16" s="7">
        <v>7.4233333333333338</v>
      </c>
      <c r="O16" s="6">
        <v>336.25806451612902</v>
      </c>
      <c r="P16" s="7">
        <v>7.4096774193548383</v>
      </c>
      <c r="Q16" s="6">
        <v>374.41935483870969</v>
      </c>
      <c r="R16" s="7">
        <v>7.3032258064516125</v>
      </c>
    </row>
    <row r="17" spans="2:18" x14ac:dyDescent="0.3">
      <c r="B17">
        <f t="shared" si="0"/>
        <v>2012</v>
      </c>
      <c r="C17" s="6">
        <v>581.87096774193549</v>
      </c>
      <c r="D17" s="7">
        <v>8.5483870967741939</v>
      </c>
      <c r="E17" s="6">
        <v>476.9</v>
      </c>
      <c r="F17" s="7">
        <v>6.2</v>
      </c>
      <c r="G17" s="6">
        <v>543.14</v>
      </c>
      <c r="H17" s="7">
        <v>8.2200000000000006</v>
      </c>
      <c r="I17" s="6">
        <v>515.80999999999995</v>
      </c>
      <c r="J17" s="7">
        <v>8.67</v>
      </c>
      <c r="K17" s="6">
        <v>366.45</v>
      </c>
      <c r="L17" s="7">
        <v>8.02</v>
      </c>
      <c r="M17" s="6">
        <v>273.73</v>
      </c>
      <c r="N17" s="7">
        <v>5.65</v>
      </c>
      <c r="O17" s="6">
        <v>367.94</v>
      </c>
      <c r="P17" s="7">
        <v>8.6</v>
      </c>
      <c r="Q17" s="6">
        <v>471.1</v>
      </c>
      <c r="R17" s="7">
        <v>9.98</v>
      </c>
    </row>
    <row r="18" spans="2:18" x14ac:dyDescent="0.3">
      <c r="B18">
        <f t="shared" si="0"/>
        <v>2013</v>
      </c>
      <c r="C18" s="6">
        <v>554.23</v>
      </c>
      <c r="D18" s="7">
        <v>7.86</v>
      </c>
      <c r="E18" s="6">
        <v>451.58</v>
      </c>
      <c r="F18" s="7">
        <v>5.51</v>
      </c>
      <c r="G18" s="6">
        <v>483.25</v>
      </c>
      <c r="H18" s="7">
        <v>7.16</v>
      </c>
      <c r="I18" s="6">
        <v>431.32</v>
      </c>
      <c r="J18" s="7">
        <v>6.25</v>
      </c>
      <c r="K18" s="6">
        <v>332.1</v>
      </c>
      <c r="L18" s="7">
        <v>6.45</v>
      </c>
      <c r="M18" s="6">
        <v>266.89999999999998</v>
      </c>
      <c r="N18" s="7">
        <v>4.8899999999999997</v>
      </c>
      <c r="O18" s="6">
        <v>310.35000000000002</v>
      </c>
      <c r="P18" s="7">
        <v>6.82</v>
      </c>
      <c r="Q18" s="6">
        <v>412.61</v>
      </c>
      <c r="R18" s="7">
        <v>8.52</v>
      </c>
    </row>
    <row r="19" spans="2:18" x14ac:dyDescent="0.3">
      <c r="B19">
        <f t="shared" si="0"/>
        <v>2014</v>
      </c>
      <c r="C19" s="6">
        <v>580</v>
      </c>
      <c r="D19" s="7">
        <v>8.83</v>
      </c>
      <c r="E19" s="6">
        <v>617.48</v>
      </c>
      <c r="F19" s="7">
        <v>9.67</v>
      </c>
      <c r="G19" s="6">
        <v>561.85714285714289</v>
      </c>
      <c r="H19" s="7">
        <v>8.5500000000000007</v>
      </c>
      <c r="I19" s="6">
        <v>503.23</v>
      </c>
      <c r="J19" s="7">
        <v>8.39</v>
      </c>
      <c r="K19" s="6">
        <v>349.55</v>
      </c>
      <c r="L19" s="7">
        <v>7.31</v>
      </c>
      <c r="M19" s="6">
        <v>342.13</v>
      </c>
      <c r="N19" s="7">
        <v>8.16</v>
      </c>
      <c r="O19" s="6">
        <v>328.68</v>
      </c>
      <c r="P19" s="7">
        <v>7.12</v>
      </c>
      <c r="Q19" s="6">
        <v>433.68</v>
      </c>
      <c r="R19" s="7">
        <v>9.06</v>
      </c>
    </row>
    <row r="20" spans="2:18" x14ac:dyDescent="0.3">
      <c r="B20">
        <f t="shared" si="0"/>
        <v>2015</v>
      </c>
      <c r="C20" s="6">
        <v>546.35</v>
      </c>
      <c r="D20" s="7">
        <v>7.99</v>
      </c>
      <c r="E20" s="6">
        <v>586.39</v>
      </c>
      <c r="F20" s="7">
        <v>8.33</v>
      </c>
      <c r="G20" s="6">
        <v>483.11</v>
      </c>
      <c r="H20" s="7">
        <v>6.79</v>
      </c>
      <c r="I20" s="6">
        <v>401.42</v>
      </c>
      <c r="J20" s="7">
        <v>5.78</v>
      </c>
      <c r="K20" s="6">
        <v>326.68</v>
      </c>
      <c r="L20" s="7">
        <v>6.24</v>
      </c>
      <c r="M20" s="6">
        <v>329.1</v>
      </c>
      <c r="N20" s="7">
        <v>7.83</v>
      </c>
      <c r="O20" s="6">
        <v>280.19354838709677</v>
      </c>
      <c r="P20" s="7">
        <v>5.2741935483870979</v>
      </c>
      <c r="Q20" s="6">
        <v>440.83870967741933</v>
      </c>
      <c r="R20" s="7">
        <v>9.3032258064516125</v>
      </c>
    </row>
    <row r="21" spans="2:18" x14ac:dyDescent="0.3">
      <c r="B21">
        <f t="shared" si="0"/>
        <v>2016</v>
      </c>
      <c r="C21" s="6">
        <v>515</v>
      </c>
      <c r="D21" s="7">
        <v>5.86</v>
      </c>
      <c r="E21" s="6">
        <v>526.39</v>
      </c>
      <c r="F21" s="7">
        <v>6.63</v>
      </c>
      <c r="G21" s="6">
        <v>509.45</v>
      </c>
      <c r="H21" s="7">
        <v>6.92</v>
      </c>
      <c r="I21" s="6">
        <v>425.74</v>
      </c>
      <c r="J21" s="7">
        <v>7.05</v>
      </c>
      <c r="K21" s="6">
        <v>288.39</v>
      </c>
      <c r="L21" s="7">
        <v>5.74</v>
      </c>
      <c r="M21" s="6">
        <v>263.89999999999998</v>
      </c>
      <c r="N21" s="7">
        <v>6.15</v>
      </c>
      <c r="O21" s="6">
        <v>334.03225806451616</v>
      </c>
      <c r="P21" s="7">
        <v>7.8419354838709694</v>
      </c>
      <c r="Q21" s="6">
        <v>365.35</v>
      </c>
      <c r="R21" s="7">
        <v>7.44</v>
      </c>
    </row>
    <row r="22" spans="2:18" x14ac:dyDescent="0.3">
      <c r="B22">
        <f>B21+1</f>
        <v>2017</v>
      </c>
      <c r="C22" s="6">
        <v>538.41935483870964</v>
      </c>
      <c r="D22" s="7">
        <v>7.2870967741935475</v>
      </c>
      <c r="E22" s="6">
        <v>439.48387096774195</v>
      </c>
      <c r="F22" s="7">
        <v>5.370967741935484</v>
      </c>
      <c r="G22" s="6">
        <v>503.17857142857144</v>
      </c>
      <c r="H22" s="7">
        <v>7.5749999999999975</v>
      </c>
      <c r="I22" s="6">
        <v>472.22580645161293</v>
      </c>
      <c r="J22" s="7">
        <v>7.8</v>
      </c>
      <c r="K22" s="6">
        <v>313</v>
      </c>
      <c r="L22" s="7">
        <v>6.6258064516129025</v>
      </c>
      <c r="M22" s="6">
        <v>304.56666666666666</v>
      </c>
      <c r="N22" s="7">
        <v>7.1133333333333342</v>
      </c>
      <c r="O22" s="6">
        <v>348.06451612903226</v>
      </c>
      <c r="P22" s="7">
        <v>8.629032258064516</v>
      </c>
      <c r="Q22" s="6">
        <v>328.32</v>
      </c>
      <c r="R22" s="7">
        <v>6.97</v>
      </c>
    </row>
    <row r="23" spans="2:18" x14ac:dyDescent="0.3">
      <c r="B23">
        <f t="shared" si="0"/>
        <v>2018</v>
      </c>
      <c r="C23" s="6">
        <v>488.26</v>
      </c>
      <c r="D23" s="7">
        <v>6.85</v>
      </c>
      <c r="E23" s="6">
        <v>471.64516129032256</v>
      </c>
      <c r="F23" s="7">
        <v>5.9258064516129023</v>
      </c>
      <c r="G23" s="6">
        <v>444.5</v>
      </c>
      <c r="H23" s="7">
        <v>6.85</v>
      </c>
      <c r="I23" s="6">
        <v>465.87096774193549</v>
      </c>
      <c r="J23" s="7">
        <v>8.2354838709677409</v>
      </c>
      <c r="K23" s="6">
        <v>329.74193548387098</v>
      </c>
      <c r="L23" s="7">
        <v>8.0838709677419338</v>
      </c>
      <c r="M23" s="6">
        <v>260.16666666666669</v>
      </c>
      <c r="N23" s="7">
        <v>5.4433333333333325</v>
      </c>
      <c r="O23" s="6">
        <v>322.03225806451616</v>
      </c>
      <c r="P23" s="7">
        <v>8.2806451612903249</v>
      </c>
      <c r="Q23" s="6">
        <v>324.58</v>
      </c>
      <c r="R23" s="7">
        <v>6.36</v>
      </c>
    </row>
    <row r="24" spans="2:18" x14ac:dyDescent="0.3">
      <c r="B24">
        <f t="shared" si="0"/>
        <v>2019</v>
      </c>
      <c r="C24" s="6">
        <v>583.22580645161293</v>
      </c>
      <c r="D24" s="7">
        <v>8.4870967741935495</v>
      </c>
      <c r="E24" s="6">
        <v>585.38709677419354</v>
      </c>
      <c r="F24" s="7">
        <v>8.5935483870967726</v>
      </c>
      <c r="G24" s="6">
        <v>437.39285714285717</v>
      </c>
      <c r="H24" s="7">
        <v>5.3892857142857196</v>
      </c>
      <c r="I24" s="6">
        <v>464.93548387096774</v>
      </c>
      <c r="J24" s="7">
        <v>6.9741935483870972</v>
      </c>
      <c r="K24" s="6">
        <v>338.96774193548384</v>
      </c>
      <c r="L24" s="7">
        <v>6.6225806451612899</v>
      </c>
      <c r="M24" s="6">
        <v>337.23333333333335</v>
      </c>
      <c r="N24" s="7">
        <v>7.79</v>
      </c>
      <c r="O24" s="6">
        <v>362.09677419354841</v>
      </c>
      <c r="P24" s="7">
        <v>8.2258064516129039</v>
      </c>
      <c r="Q24" s="6">
        <v>396.35483870967744</v>
      </c>
      <c r="R24" s="7">
        <v>7.8258064516129036</v>
      </c>
    </row>
    <row r="25" spans="2:18" x14ac:dyDescent="0.3">
      <c r="B25">
        <f t="shared" si="0"/>
        <v>2020</v>
      </c>
      <c r="C25" s="6">
        <v>489.06451612903226</v>
      </c>
      <c r="D25" s="7">
        <v>6.1935483870967749</v>
      </c>
      <c r="E25" s="6">
        <v>501.45161290322579</v>
      </c>
      <c r="F25" s="7">
        <v>6.4935483870967738</v>
      </c>
      <c r="G25" s="6">
        <v>389.17241379310343</v>
      </c>
      <c r="H25" s="7">
        <v>4.2275862068965511</v>
      </c>
      <c r="I25" s="6">
        <v>509.45161290322579</v>
      </c>
      <c r="J25" s="7">
        <v>8.2774193548387096</v>
      </c>
      <c r="K25" s="6">
        <v>359.22580645161293</v>
      </c>
      <c r="L25" s="7">
        <v>7.3903225806451625</v>
      </c>
      <c r="M25" s="6">
        <v>291.23333333333335</v>
      </c>
      <c r="N25" s="7">
        <v>6.0566666666666675</v>
      </c>
      <c r="O25" s="6">
        <v>358.25806451612902</v>
      </c>
      <c r="P25" s="7">
        <v>7.967741935483871</v>
      </c>
      <c r="Q25" s="6">
        <v>372.12903225806451</v>
      </c>
      <c r="R25" s="7">
        <v>7.0677419354838689</v>
      </c>
    </row>
    <row r="26" spans="2:18" x14ac:dyDescent="0.3">
      <c r="B26">
        <f t="shared" si="0"/>
        <v>2021</v>
      </c>
      <c r="C26" s="6">
        <v>488.06451612903226</v>
      </c>
      <c r="D26" s="7">
        <v>5.887096774193548</v>
      </c>
      <c r="E26" s="6">
        <v>490.02886247877746</v>
      </c>
      <c r="F26" s="7">
        <v>6.1799376034393596</v>
      </c>
      <c r="G26" s="6">
        <v>509.78571428571428</v>
      </c>
      <c r="H26" s="7">
        <v>7.0285714285714267</v>
      </c>
      <c r="I26" s="6">
        <v>458.54931316561203</v>
      </c>
      <c r="J26" s="7">
        <v>6.7788996975712807</v>
      </c>
      <c r="K26" s="6">
        <v>336.84534650409017</v>
      </c>
      <c r="L26" s="7">
        <v>6.6243018602539578</v>
      </c>
      <c r="M26" s="6">
        <v>291.17783094098894</v>
      </c>
      <c r="N26" s="7">
        <v>6.1090678728837942</v>
      </c>
      <c r="O26" s="6">
        <v>352.48338003968337</v>
      </c>
      <c r="P26" s="7">
        <v>7.8703657735316472</v>
      </c>
      <c r="Q26" s="6">
        <v>399.22812162370747</v>
      </c>
      <c r="R26" s="7">
        <v>7.8375846175117312</v>
      </c>
    </row>
    <row r="27" spans="2:18" x14ac:dyDescent="0.3">
      <c r="B27">
        <f t="shared" si="0"/>
        <v>2022</v>
      </c>
      <c r="C27" s="6">
        <v>532.36764932860012</v>
      </c>
      <c r="D27" s="7">
        <v>7.274690894223987</v>
      </c>
      <c r="E27" s="6">
        <v>483.50362710294809</v>
      </c>
      <c r="F27" s="7">
        <v>5.9905231656707416</v>
      </c>
      <c r="G27" s="6">
        <v>524.67036910457966</v>
      </c>
      <c r="H27" s="7">
        <v>7.4774435919854936</v>
      </c>
      <c r="I27" s="6">
        <v>477.38539898132433</v>
      </c>
      <c r="J27" s="7">
        <v>7.2676624443951408</v>
      </c>
      <c r="K27" s="6">
        <v>344.08634500541262</v>
      </c>
      <c r="L27" s="7">
        <v>6.8938551673512967</v>
      </c>
      <c r="M27" s="6">
        <v>308.61945773524724</v>
      </c>
      <c r="N27" s="7">
        <v>6.6641042903502905</v>
      </c>
      <c r="O27" s="6">
        <v>351.23738231208529</v>
      </c>
      <c r="P27" s="7">
        <v>7.6963305390032861</v>
      </c>
      <c r="Q27" s="6">
        <v>355.97777434789322</v>
      </c>
      <c r="R27" s="7">
        <v>6.3576812780752752</v>
      </c>
    </row>
    <row r="28" spans="2:18" x14ac:dyDescent="0.3">
      <c r="B28">
        <f t="shared" si="0"/>
        <v>2023</v>
      </c>
      <c r="C28" s="6">
        <v>482.6859083191851</v>
      </c>
      <c r="D28" s="7">
        <v>6.0014147655360635</v>
      </c>
      <c r="E28" s="6">
        <v>464.27936409939809</v>
      </c>
      <c r="F28" s="7">
        <v>5.4799332849984213</v>
      </c>
      <c r="G28" s="6">
        <v>442.80536568694464</v>
      </c>
      <c r="H28" s="7">
        <v>5.2515553135535287</v>
      </c>
      <c r="I28" s="6">
        <v>458.17255749344031</v>
      </c>
      <c r="J28" s="7">
        <v>6.7772217134458863</v>
      </c>
      <c r="K28" s="6">
        <v>348.36703194937485</v>
      </c>
      <c r="L28" s="7">
        <v>7.0450525293281148</v>
      </c>
      <c r="M28" s="6">
        <v>307.8189792663477</v>
      </c>
      <c r="N28" s="7">
        <v>6.8778984400881873</v>
      </c>
      <c r="O28" s="6">
        <v>324.3373977465659</v>
      </c>
      <c r="P28" s="7">
        <v>6.7694351725567934</v>
      </c>
      <c r="Q28" s="6">
        <v>359.38972063590069</v>
      </c>
      <c r="R28" s="7">
        <v>6.5166988985567205</v>
      </c>
    </row>
    <row r="29" spans="2:18" x14ac:dyDescent="0.3">
      <c r="B29">
        <f t="shared" si="0"/>
        <v>2024</v>
      </c>
      <c r="C29" s="6">
        <v>633.57000000000005</v>
      </c>
      <c r="D29" s="7">
        <v>9.82</v>
      </c>
      <c r="E29" s="6">
        <v>537.20080259161921</v>
      </c>
      <c r="F29" s="7">
        <v>7.4397207992079624</v>
      </c>
      <c r="G29" s="6">
        <v>492.17587856789322</v>
      </c>
      <c r="H29" s="7">
        <v>6.6734683646360589</v>
      </c>
      <c r="I29" s="6">
        <v>446.57076709368749</v>
      </c>
      <c r="J29" s="7">
        <v>6.6622035750678075</v>
      </c>
      <c r="K29" s="6">
        <v>345.16283377064372</v>
      </c>
      <c r="L29" s="7">
        <v>6.900951668356984</v>
      </c>
      <c r="M29" s="6">
        <v>330.51977671451363</v>
      </c>
      <c r="N29" s="7">
        <v>7.5307445563829054</v>
      </c>
      <c r="O29" s="6">
        <v>304.78160209908941</v>
      </c>
      <c r="P29" s="7">
        <v>6.1714298526279823</v>
      </c>
      <c r="Q29" s="6">
        <v>401.94088594208989</v>
      </c>
      <c r="R29" s="7">
        <v>8.1082677339255653</v>
      </c>
    </row>
    <row r="30" spans="2:18" x14ac:dyDescent="0.3">
      <c r="B30">
        <f t="shared" si="0"/>
        <v>2025</v>
      </c>
      <c r="C30" s="6">
        <v>497.01373668776051</v>
      </c>
      <c r="D30" s="7">
        <v>6.3829399583496231</v>
      </c>
      <c r="E30" s="6">
        <v>526.87451767248024</v>
      </c>
      <c r="F30" s="7">
        <v>7.0384715365871395</v>
      </c>
      <c r="G30" s="6">
        <v>519.03400546821604</v>
      </c>
      <c r="H30" s="7">
        <v>7.1964285714285721</v>
      </c>
      <c r="I30" s="6">
        <v>479.01574317024239</v>
      </c>
      <c r="J30" s="7">
        <v>7.403225806451613</v>
      </c>
      <c r="K30" s="6">
        <v>349.56937799043061</v>
      </c>
      <c r="L30" s="7">
        <v>6.9870967741935486</v>
      </c>
      <c r="M30" s="6">
        <v>283.15039872408295</v>
      </c>
      <c r="N30" s="7">
        <v>5.8021514949341997</v>
      </c>
      <c r="O30" s="6">
        <v>326.00169779286927</v>
      </c>
      <c r="P30" s="7">
        <v>6.7464426565615359</v>
      </c>
      <c r="Q30" s="6">
        <v>406.67741935483872</v>
      </c>
      <c r="R30" s="7">
        <v>7.9767887174473868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FBB1-D4B2-427C-8C02-9CB95A73D84A}">
  <dimension ref="B2:P32"/>
  <sheetViews>
    <sheetView workbookViewId="0">
      <selection activeCell="B2" sqref="B2"/>
    </sheetView>
  </sheetViews>
  <sheetFormatPr defaultRowHeight="14.4" x14ac:dyDescent="0.3"/>
  <cols>
    <col min="2" max="2" width="12.88671875" customWidth="1"/>
    <col min="3" max="3" width="14.88671875" customWidth="1"/>
    <col min="12" max="12" width="12.88671875" customWidth="1"/>
  </cols>
  <sheetData>
    <row r="2" spans="2:16" ht="31.8" customHeight="1" x14ac:dyDescent="0.3">
      <c r="B2" s="2" t="s">
        <v>13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L2" s="2" t="s">
        <v>13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2:16" x14ac:dyDescent="0.3">
      <c r="B3">
        <v>1998</v>
      </c>
      <c r="C3" s="6">
        <f>dados!C3/(dados!D3*3600)*10000*4.1868</f>
        <v>834.67883233532939</v>
      </c>
      <c r="D3" s="6">
        <f>dados!E3/(dados!F3*3600)*10000*4.1868</f>
        <v>819.87020030816632</v>
      </c>
      <c r="E3" s="6">
        <f>dados!G3/(dados!H3*3600)*10000*4.1868</f>
        <v>1000.1079132231405</v>
      </c>
      <c r="F3" s="6">
        <f>dados!I3/(dados!J3*3600)*10000*4.1868</f>
        <v>731.43842715231779</v>
      </c>
      <c r="G3" s="6">
        <f>dados!K3/(dados!L3*3600)*10000*4.1868</f>
        <v>552.28363047001619</v>
      </c>
      <c r="H3" s="6">
        <f>dados!M3/(dados!N3*3600)*10000*4.1868</f>
        <v>484.32257100149479</v>
      </c>
      <c r="I3" s="6">
        <f>dados!O3/(dados!P3*3600)*10000*4.1868</f>
        <v>479.88207182320446</v>
      </c>
      <c r="J3" s="6">
        <f>dados!Q3/(dados!R3*3600)*10000*4.1868</f>
        <v>579.6302250803858</v>
      </c>
      <c r="L3">
        <v>1998</v>
      </c>
      <c r="M3" s="4">
        <f>AVERAGE(C3:E3)</f>
        <v>884.8856486222121</v>
      </c>
      <c r="N3" s="4">
        <f>AVERAGE(D3:F3)</f>
        <v>850.4721802278749</v>
      </c>
      <c r="O3" s="4">
        <f>AVERAGE(G3:I3)</f>
        <v>505.49609109823842</v>
      </c>
      <c r="P3" s="4">
        <f>AVERAGE(H3:J3)</f>
        <v>514.61162263502831</v>
      </c>
    </row>
    <row r="4" spans="2:16" x14ac:dyDescent="0.3">
      <c r="B4">
        <f>B3+1</f>
        <v>1999</v>
      </c>
      <c r="C4" s="6">
        <f>dados!C4/(dados!D4*3600)*10000*4.1868</f>
        <v>846.3991584158415</v>
      </c>
      <c r="D4" s="6">
        <f>dados!E4/(dados!F4*3600)*10000*4.1868</f>
        <v>907.32949083503047</v>
      </c>
      <c r="E4" s="6">
        <f>dados!G4/(dados!H4*3600)*10000*4.1868</f>
        <v>888.03821229050288</v>
      </c>
      <c r="F4" s="6">
        <f>dados!I4/(dados!J4*3600)*10000*4.1868</f>
        <v>647.76079220779218</v>
      </c>
      <c r="G4" s="6">
        <f>dados!K4/(dados!L4*3600)*10000*4.1868</f>
        <v>511.62633557046985</v>
      </c>
      <c r="H4" s="6">
        <f>dados!M4/(dados!N4*3600)*10000*4.1868</f>
        <v>500.14834448160542</v>
      </c>
      <c r="I4" s="6">
        <f>dados!O4/(dados!P4*3600)*10000*4.1868</f>
        <v>501.65223880597011</v>
      </c>
      <c r="J4" s="6">
        <f>dados!Q4/(dados!R4*3600)*10000*4.1868</f>
        <v>520.390394265233</v>
      </c>
      <c r="L4">
        <f>L3+1</f>
        <v>1999</v>
      </c>
      <c r="M4" s="4">
        <f t="shared" ref="M4:N23" si="0">AVERAGE(C4:E4)</f>
        <v>880.58895384712503</v>
      </c>
      <c r="N4" s="4">
        <f t="shared" si="0"/>
        <v>814.37616511110855</v>
      </c>
      <c r="O4" s="4">
        <f t="shared" ref="O4:P23" si="1">AVERAGE(G4:I4)</f>
        <v>504.47563961934844</v>
      </c>
      <c r="P4" s="4">
        <f t="shared" si="1"/>
        <v>507.39699251760288</v>
      </c>
    </row>
    <row r="5" spans="2:16" x14ac:dyDescent="0.3">
      <c r="B5">
        <f t="shared" ref="B5:B30" si="2">B4+1</f>
        <v>2000</v>
      </c>
      <c r="C5" s="6">
        <f>dados!C5/(dados!D5*3600)*10000*4.1868</f>
        <v>816.94717842323655</v>
      </c>
      <c r="D5" s="6">
        <f>dados!E5/(dados!F5*3600)*10000*4.1868</f>
        <v>847.12773940345369</v>
      </c>
      <c r="E5" s="6">
        <f>dados!G5/(dados!H5*3600)*10000*4.1868</f>
        <v>953.49052823315117</v>
      </c>
      <c r="F5" s="6">
        <f>dados!I5/(dados!J5*3600)*10000*4.1868</f>
        <v>880.87594095940949</v>
      </c>
      <c r="G5" s="6">
        <f>dados!K5/(dados!L5*3600)*10000*4.1868</f>
        <v>548.82222826086945</v>
      </c>
      <c r="H5" s="6">
        <f>dados!M5/(dados!N5*3600)*10000*4.1868</f>
        <v>529.91363772455088</v>
      </c>
      <c r="I5" s="6">
        <f>dados!O5/(dados!P5*3600)*10000*4.1868</f>
        <v>575.96361669242663</v>
      </c>
      <c r="J5" s="6">
        <f>dados!Q5/(dados!R5*3600)*10000*4.1868</f>
        <v>657.17604529616722</v>
      </c>
      <c r="L5">
        <f t="shared" ref="L5:L30" si="3">L4+1</f>
        <v>2000</v>
      </c>
      <c r="M5" s="4">
        <f t="shared" si="0"/>
        <v>872.52181535328043</v>
      </c>
      <c r="N5" s="4">
        <f t="shared" si="0"/>
        <v>893.83140286533808</v>
      </c>
      <c r="O5" s="4">
        <f t="shared" si="1"/>
        <v>551.56649422594899</v>
      </c>
      <c r="P5" s="4">
        <f t="shared" si="1"/>
        <v>587.68443323771487</v>
      </c>
    </row>
    <row r="6" spans="2:16" x14ac:dyDescent="0.3">
      <c r="B6">
        <f t="shared" si="2"/>
        <v>2001</v>
      </c>
      <c r="C6" s="6">
        <f>dados!C6/(dados!D6*3600)*10000*4.1868</f>
        <v>925.31833037300169</v>
      </c>
      <c r="D6" s="6">
        <f>dados!E6/(dados!F6*3600)*10000*4.1868</f>
        <v>796.56890982503364</v>
      </c>
      <c r="E6" s="6">
        <f>dados!G6/(dados!H6*3600)*10000*4.1868</f>
        <v>860.41299352750798</v>
      </c>
      <c r="F6" s="6">
        <f>dados!I6/(dados!J6*3600)*10000*4.1868</f>
        <v>750.10997130559554</v>
      </c>
      <c r="G6" s="6">
        <f>dados!K6/(dados!L6*3600)*10000*4.1868</f>
        <v>600.69330065359486</v>
      </c>
      <c r="H6" s="6">
        <f>dados!M6/(dados!N6*3600)*10000*4.1868</f>
        <v>577.54128747795414</v>
      </c>
      <c r="I6" s="6">
        <f>dados!O6/(dados!P6*3600)*10000*4.1868</f>
        <v>602.48928692699485</v>
      </c>
      <c r="J6" s="6">
        <f>dados!Q6/(dados!R6*3600)*10000*4.1868</f>
        <v>618.27295238095235</v>
      </c>
      <c r="L6">
        <f t="shared" si="3"/>
        <v>2001</v>
      </c>
      <c r="M6" s="4">
        <f t="shared" si="0"/>
        <v>860.76674457518095</v>
      </c>
      <c r="N6" s="4">
        <f t="shared" si="0"/>
        <v>802.36395821937913</v>
      </c>
      <c r="O6" s="4">
        <f t="shared" si="1"/>
        <v>593.57462501951466</v>
      </c>
      <c r="P6" s="4">
        <f t="shared" si="1"/>
        <v>599.43450892863382</v>
      </c>
    </row>
    <row r="7" spans="2:16" x14ac:dyDescent="0.3">
      <c r="B7">
        <f t="shared" si="2"/>
        <v>2002</v>
      </c>
      <c r="C7" s="6">
        <f>dados!C7/(dados!D7*3600)*10000*4.1868</f>
        <v>915.1717679558011</v>
      </c>
      <c r="D7" s="6">
        <f>dados!E7/(dados!F7*3600)*10000*4.1868</f>
        <v>1003.5343368421052</v>
      </c>
      <c r="E7" s="6">
        <f>dados!G7/(dados!H7*3600)*10000*4.1868</f>
        <v>921.52927450980394</v>
      </c>
      <c r="F7" s="6">
        <f>dados!I7/(dados!J7*3600)*10000*4.1868</f>
        <v>678.37261363636378</v>
      </c>
      <c r="G7" s="6">
        <f>dados!K7/(dados!L7*3600)*10000*4.1868</f>
        <v>571.84671617161712</v>
      </c>
      <c r="H7" s="6">
        <f>dados!M7/(dados!N7*3600)*10000*4.1868</f>
        <v>482.41742240215922</v>
      </c>
      <c r="I7" s="6">
        <f>dados!O7/(dados!P7*3600)*10000*4.1868</f>
        <v>515.75765780730899</v>
      </c>
      <c r="J7" s="6">
        <f>dados!Q7/(dados!R7*3600)*10000*4.1868</f>
        <v>548.21950892857137</v>
      </c>
      <c r="L7">
        <f t="shared" si="3"/>
        <v>2002</v>
      </c>
      <c r="M7" s="4">
        <f t="shared" si="0"/>
        <v>946.74512643590344</v>
      </c>
      <c r="N7" s="4">
        <f t="shared" si="0"/>
        <v>867.81207499609093</v>
      </c>
      <c r="O7" s="4">
        <f t="shared" si="1"/>
        <v>523.34059879369511</v>
      </c>
      <c r="P7" s="4">
        <f t="shared" si="1"/>
        <v>515.46486304601319</v>
      </c>
    </row>
    <row r="8" spans="2:16" x14ac:dyDescent="0.3">
      <c r="B8">
        <f t="shared" si="2"/>
        <v>2003</v>
      </c>
      <c r="C8" s="6">
        <f>dados!C8/(dados!D8*3600)*10000*4.1868</f>
        <v>893.06770000000006</v>
      </c>
      <c r="D8" s="6">
        <f>dados!E8/(dados!F8*3600)*10000*4.1868</f>
        <v>993.21297169811328</v>
      </c>
      <c r="E8" s="6">
        <f>dados!G8/(dados!H8*3600)*10000*4.1868</f>
        <v>733.2978954607978</v>
      </c>
      <c r="F8" s="6">
        <f>dados!I8/(dados!J8*3600)*10000*4.1868</f>
        <v>778.41316476345833</v>
      </c>
      <c r="G8" s="6">
        <f>dados!K8/(dados!L8*3600)*10000*4.1868</f>
        <v>513.0034196185286</v>
      </c>
      <c r="H8" s="6">
        <f>dados!M8/(dados!N8*3600)*10000*4.1868</f>
        <v>492.59325179856114</v>
      </c>
      <c r="I8" s="6">
        <f>dados!O8/(dados!P8*3600)*10000*4.1868</f>
        <v>505.6521739130435</v>
      </c>
      <c r="J8" s="6">
        <f>dados!Q8/(dados!R8*3600)*10000*4.1868</f>
        <v>584.47347957639931</v>
      </c>
      <c r="L8">
        <f t="shared" si="3"/>
        <v>2003</v>
      </c>
      <c r="M8" s="4">
        <f t="shared" si="0"/>
        <v>873.19285571963701</v>
      </c>
      <c r="N8" s="4">
        <f t="shared" si="0"/>
        <v>834.97467730745632</v>
      </c>
      <c r="O8" s="4">
        <f t="shared" si="1"/>
        <v>503.74961511004443</v>
      </c>
      <c r="P8" s="4">
        <f t="shared" si="1"/>
        <v>527.57296842933465</v>
      </c>
    </row>
    <row r="9" spans="2:16" x14ac:dyDescent="0.3">
      <c r="B9">
        <f t="shared" si="2"/>
        <v>2004</v>
      </c>
      <c r="C9" s="6">
        <f>dados!C9/(dados!D9*3600)*10000*4.1868</f>
        <v>829.82507042253519</v>
      </c>
      <c r="D9" s="6">
        <f>dados!E9/(dados!F9*3600)*10000*4.1868</f>
        <v>974.32097065462767</v>
      </c>
      <c r="E9" s="6">
        <f>dados!G9/(dados!H9*3600)*10000*4.1868</f>
        <v>803.19330605564642</v>
      </c>
      <c r="F9" s="6">
        <f>dados!I9/(dados!J9*3600)*10000*4.1868</f>
        <v>691.29313031161473</v>
      </c>
      <c r="G9" s="6">
        <f>dados!K9/(dados!L9*3600)*10000*4.1868</f>
        <v>630.66957661290326</v>
      </c>
      <c r="H9" s="6">
        <f>dados!M9/(dados!N9*3600)*10000*4.1868</f>
        <v>566.29322641509441</v>
      </c>
      <c r="I9" s="6">
        <f>dados!O9/(dados!P9*3600)*10000*4.1868</f>
        <v>585.57154398563739</v>
      </c>
      <c r="J9" s="6">
        <f>dados!Q9/(dados!R9*3600)*10000*4.1868</f>
        <v>577.31435865504363</v>
      </c>
      <c r="L9">
        <f t="shared" si="3"/>
        <v>2004</v>
      </c>
      <c r="M9" s="4">
        <f t="shared" si="0"/>
        <v>869.11311571093631</v>
      </c>
      <c r="N9" s="4">
        <f t="shared" si="0"/>
        <v>822.93580234062972</v>
      </c>
      <c r="O9" s="4">
        <f t="shared" si="1"/>
        <v>594.17811567121169</v>
      </c>
      <c r="P9" s="4">
        <f t="shared" si="1"/>
        <v>576.39304301859181</v>
      </c>
    </row>
    <row r="10" spans="2:16" x14ac:dyDescent="0.3">
      <c r="B10">
        <f t="shared" si="2"/>
        <v>2005</v>
      </c>
      <c r="C10" s="6">
        <f>dados!C10/(dados!D10*3600)*10000*4.1868</f>
        <v>949.56675977653629</v>
      </c>
      <c r="D10" s="6">
        <f>dados!E10/(dados!F10*3600)*10000*4.1868</f>
        <v>1185.2472752808987</v>
      </c>
      <c r="E10" s="6">
        <f>dados!G10/(dados!H10*3600)*10000*4.1868</f>
        <v>735.7566169154228</v>
      </c>
      <c r="F10" s="6">
        <f>dados!I10/(dados!J10*3600)*10000*4.1868</f>
        <v>846.97028625954204</v>
      </c>
      <c r="G10" s="6">
        <f>dados!K10/(dados!L10*3600)*10000*4.1868</f>
        <v>546.86998509687032</v>
      </c>
      <c r="H10" s="6">
        <f>dados!M10/(dados!N10*3600)*10000*4.1868</f>
        <v>545.19170731707322</v>
      </c>
      <c r="I10" s="6">
        <f>dados!O10/(dados!P10*3600)*10000*4.1868</f>
        <v>567.33691573926853</v>
      </c>
      <c r="J10" s="6">
        <f>dados!Q10/(dados!R10*3600)*10000*4.1868</f>
        <v>568.0468394437421</v>
      </c>
      <c r="L10">
        <f t="shared" si="3"/>
        <v>2005</v>
      </c>
      <c r="M10" s="4">
        <f t="shared" si="0"/>
        <v>956.85688399095261</v>
      </c>
      <c r="N10" s="4">
        <f t="shared" si="0"/>
        <v>922.65805948528794</v>
      </c>
      <c r="O10" s="4">
        <f t="shared" si="1"/>
        <v>553.13286938440399</v>
      </c>
      <c r="P10" s="4">
        <f t="shared" si="1"/>
        <v>560.19182083336125</v>
      </c>
    </row>
    <row r="11" spans="2:16" x14ac:dyDescent="0.3">
      <c r="B11">
        <f t="shared" si="2"/>
        <v>2006</v>
      </c>
      <c r="C11" s="6">
        <f>dados!C11/(dados!D11*3600)*10000*4.1868</f>
        <v>991.01230623818515</v>
      </c>
      <c r="D11" s="6">
        <f>dados!E11/(dados!F11*3600)*10000*4.1868</f>
        <v>852.63381493506495</v>
      </c>
      <c r="E11" s="6">
        <f>dados!G11/(dados!H11*3600)*10000*4.1868</f>
        <v>958.21896000000004</v>
      </c>
      <c r="F11" s="6">
        <f>dados!I11/(dados!J11*3600)*10000*4.1868</f>
        <v>819.90519392917361</v>
      </c>
      <c r="G11" s="6">
        <f>dados!K11/(dados!L11*3600)*10000*4.1868</f>
        <v>593.72450479233225</v>
      </c>
      <c r="H11" s="6">
        <f>dados!M11/(dados!N11*3600)*10000*4.1868</f>
        <v>501.97546969696964</v>
      </c>
      <c r="I11" s="6">
        <f>dados!O11/(dados!P11*3600)*10000*4.1868</f>
        <v>494.07573208722738</v>
      </c>
      <c r="J11" s="6">
        <f>dados!Q11/(dados!R11*3600)*10000*4.1868</f>
        <v>549.35575305291718</v>
      </c>
      <c r="L11">
        <f t="shared" si="3"/>
        <v>2006</v>
      </c>
      <c r="M11" s="4">
        <f t="shared" si="0"/>
        <v>933.95502705775004</v>
      </c>
      <c r="N11" s="4">
        <f t="shared" si="0"/>
        <v>876.91932295474624</v>
      </c>
      <c r="O11" s="4">
        <f t="shared" si="1"/>
        <v>529.92523552550972</v>
      </c>
      <c r="P11" s="4">
        <f t="shared" si="1"/>
        <v>515.13565161237136</v>
      </c>
    </row>
    <row r="12" spans="2:16" x14ac:dyDescent="0.3">
      <c r="B12">
        <f t="shared" si="2"/>
        <v>2007</v>
      </c>
      <c r="C12" s="6">
        <f>dados!C12/(dados!D12*3600)*10000*4.1868</f>
        <v>955.02593959731553</v>
      </c>
      <c r="D12" s="6">
        <f>dados!E12/(dados!F12*3600)*10000*4.1868</f>
        <v>1148.7310026385226</v>
      </c>
      <c r="E12" s="6">
        <f>dados!G12/(dados!H12*3600)*10000*4.1868</f>
        <v>809.3102341597795</v>
      </c>
      <c r="F12" s="6">
        <f>dados!I12/(dados!J12*3600)*10000*4.1868</f>
        <v>716.6360392156862</v>
      </c>
      <c r="G12" s="6">
        <f>dados!K12/(dados!L12*3600)*10000*4.1868</f>
        <v>568.86240822320121</v>
      </c>
      <c r="H12" s="6">
        <f>dados!M12/(dados!N12*3600)*10000*4.1868</f>
        <v>483.50247831474599</v>
      </c>
      <c r="I12" s="6">
        <f>dados!O12/(dados!P12*3600)*10000*4.1868</f>
        <v>533.96946646341462</v>
      </c>
      <c r="J12" s="6">
        <f>dados!Q12/(dados!R12*3600)*10000*4.1868</f>
        <v>562.52182897862224</v>
      </c>
      <c r="L12">
        <f t="shared" si="3"/>
        <v>2007</v>
      </c>
      <c r="M12" s="4">
        <f t="shared" si="0"/>
        <v>971.02239213187261</v>
      </c>
      <c r="N12" s="4">
        <f t="shared" si="0"/>
        <v>891.55909200466283</v>
      </c>
      <c r="O12" s="4">
        <f t="shared" si="1"/>
        <v>528.77811766712068</v>
      </c>
      <c r="P12" s="4">
        <f t="shared" si="1"/>
        <v>526.66459125226095</v>
      </c>
    </row>
    <row r="13" spans="2:16" x14ac:dyDescent="0.3">
      <c r="B13">
        <f t="shared" si="2"/>
        <v>2008</v>
      </c>
      <c r="C13" s="6">
        <f>dados!C13/(dados!D13*3600)*10000*4.1868</f>
        <v>820.98849978383043</v>
      </c>
      <c r="D13" s="6">
        <f>dados!E13/(dados!F13*3600)*10000*4.1868</f>
        <v>1107.1545622119816</v>
      </c>
      <c r="E13" s="6">
        <f>dados!G13/(dados!H13*3600)*10000*4.1868</f>
        <v>916.17079934747142</v>
      </c>
      <c r="F13" s="6">
        <f>dados!I13/(dados!J13*3600)*10000*4.1868</f>
        <v>751.93909972299161</v>
      </c>
      <c r="G13" s="6">
        <f>dados!K13/(dados!L13*3600)*10000*4.1868</f>
        <v>570.87838150289019</v>
      </c>
      <c r="H13" s="6">
        <f>dados!M13/(dados!N13*3600)*10000*4.1868</f>
        <v>553.32310452418108</v>
      </c>
      <c r="I13" s="6">
        <f>dados!O13/(dados!P13*3600)*10000*4.1868</f>
        <v>502.82774265526228</v>
      </c>
      <c r="J13" s="6">
        <f>dados!Q13/(dados!R13*3600)*10000*4.1868</f>
        <v>599.62467532467531</v>
      </c>
      <c r="L13">
        <f t="shared" si="3"/>
        <v>2008</v>
      </c>
      <c r="M13" s="4">
        <f t="shared" si="0"/>
        <v>948.10462044776114</v>
      </c>
      <c r="N13" s="4">
        <f t="shared" si="0"/>
        <v>925.08815376081486</v>
      </c>
      <c r="O13" s="4">
        <f t="shared" si="1"/>
        <v>542.3430762274445</v>
      </c>
      <c r="P13" s="4">
        <f t="shared" si="1"/>
        <v>551.92517416803958</v>
      </c>
    </row>
    <row r="14" spans="2:16" x14ac:dyDescent="0.3">
      <c r="B14">
        <f t="shared" si="2"/>
        <v>2009</v>
      </c>
      <c r="C14" s="6">
        <f>dados!C14/(dados!D14*3600)*10000*4.1868</f>
        <v>841.71968729184766</v>
      </c>
      <c r="D14" s="6">
        <f>dados!E14/(dados!F14*3600)*10000*4.1868</f>
        <v>1069.4142167011732</v>
      </c>
      <c r="E14" s="6">
        <f>dados!G14/(dados!H14*3600)*10000*4.1868</f>
        <v>917.36637931034488</v>
      </c>
      <c r="F14" s="6">
        <f>dados!I14/(dados!J14*3600)*10000*4.1868</f>
        <v>776.6123503649635</v>
      </c>
      <c r="G14" s="6">
        <f>dados!K14/(dados!L14*3600)*10000*4.1868</f>
        <v>574.70156180276661</v>
      </c>
      <c r="H14" s="6">
        <f>dados!M14/(dados!N14*3600)*10000*4.1868</f>
        <v>560.26183076923076</v>
      </c>
      <c r="I14" s="6">
        <f>dados!O14/(dados!P14*3600)*10000*4.1868</f>
        <v>647.991683991684</v>
      </c>
      <c r="J14" s="6">
        <f>dados!Q14/(dados!R14*3600)*10000*4.1868</f>
        <v>630.77966101694904</v>
      </c>
      <c r="L14">
        <f t="shared" si="3"/>
        <v>2009</v>
      </c>
      <c r="M14" s="4">
        <f t="shared" si="0"/>
        <v>942.83342776778863</v>
      </c>
      <c r="N14" s="4">
        <f t="shared" si="0"/>
        <v>921.13098212549392</v>
      </c>
      <c r="O14" s="4">
        <f t="shared" si="1"/>
        <v>594.31835885456042</v>
      </c>
      <c r="P14" s="4">
        <f t="shared" si="1"/>
        <v>613.01105859262123</v>
      </c>
    </row>
    <row r="15" spans="2:16" x14ac:dyDescent="0.3">
      <c r="B15">
        <f t="shared" si="2"/>
        <v>2010</v>
      </c>
      <c r="C15" s="6">
        <f>dados!C15/(dados!D15*3600)*10000*4.1868</f>
        <v>966.15070397111913</v>
      </c>
      <c r="D15" s="6">
        <f>dados!E15/(dados!F15*3600)*10000*4.1868</f>
        <v>1042.2230752688172</v>
      </c>
      <c r="E15" s="6">
        <f>dados!G15/(dados!H15*3600)*10000*4.1868</f>
        <v>781.28130606860157</v>
      </c>
      <c r="F15" s="6">
        <f>dados!I15/(dados!J15*3600)*10000*4.1868</f>
        <v>748.23448780487809</v>
      </c>
      <c r="G15" s="6">
        <f>dados!K15/(dados!L15*3600)*10000*4.1868</f>
        <v>551.75373472159356</v>
      </c>
      <c r="H15" s="6">
        <f>dados!M15/(dados!N15*3600)*10000*4.1868</f>
        <v>489.07308306709257</v>
      </c>
      <c r="I15" s="6">
        <f>dados!O15/(dados!P15*3600)*10000*4.1868</f>
        <v>525.0470815450642</v>
      </c>
      <c r="J15" s="6">
        <f>dados!Q15/(dados!R15*3600)*10000*4.1868</f>
        <v>573.21116825863317</v>
      </c>
      <c r="L15">
        <f t="shared" si="3"/>
        <v>2010</v>
      </c>
      <c r="M15" s="4">
        <f t="shared" si="0"/>
        <v>929.88502843617925</v>
      </c>
      <c r="N15" s="4">
        <f t="shared" si="0"/>
        <v>857.24628971409891</v>
      </c>
      <c r="O15" s="4">
        <f t="shared" si="1"/>
        <v>521.95796644458346</v>
      </c>
      <c r="P15" s="4">
        <f t="shared" si="1"/>
        <v>529.11044429026333</v>
      </c>
    </row>
    <row r="16" spans="2:16" x14ac:dyDescent="0.3">
      <c r="B16">
        <f t="shared" si="2"/>
        <v>2011</v>
      </c>
      <c r="C16" s="6">
        <f>dados!C16/(dados!D16*3600)*10000*4.1868</f>
        <v>896.39169675090261</v>
      </c>
      <c r="D16" s="6">
        <f>dados!E16/(dados!F16*3600)*10000*4.1868</f>
        <v>891.65188197767145</v>
      </c>
      <c r="E16" s="6">
        <f>dados!G16/(dados!H16*3600)*10000*4.1868</f>
        <v>796.37653521126754</v>
      </c>
      <c r="F16" s="6">
        <f>dados!I16/(dados!J16*3600)*10000*4.1868</f>
        <v>963.60565517241389</v>
      </c>
      <c r="G16" s="6">
        <f>dados!K16/(dados!L16*3600)*10000*4.1868</f>
        <v>545.95346774193547</v>
      </c>
      <c r="H16" s="6">
        <f>dados!M16/(dados!N16*3600)*10000*4.1868</f>
        <v>512.77489896722045</v>
      </c>
      <c r="I16" s="6">
        <f>dados!O16/(dados!P16*3600)*10000*4.1868</f>
        <v>527.78023508924684</v>
      </c>
      <c r="J16" s="6">
        <f>dados!Q16/(dados!R16*3600)*10000*4.1868</f>
        <v>596.24297703180218</v>
      </c>
      <c r="L16">
        <f t="shared" si="3"/>
        <v>2011</v>
      </c>
      <c r="M16" s="4">
        <f t="shared" si="0"/>
        <v>861.47337131328061</v>
      </c>
      <c r="N16" s="4">
        <f t="shared" si="0"/>
        <v>883.87802412045096</v>
      </c>
      <c r="O16" s="4">
        <f t="shared" si="1"/>
        <v>528.83620059946759</v>
      </c>
      <c r="P16" s="4">
        <f t="shared" si="1"/>
        <v>545.59937036275653</v>
      </c>
    </row>
    <row r="17" spans="2:16" x14ac:dyDescent="0.3">
      <c r="B17">
        <f t="shared" si="2"/>
        <v>2012</v>
      </c>
      <c r="C17" s="6">
        <f>dados!C17/(dados!D17*3600)*10000*4.1868</f>
        <v>791.62996226415078</v>
      </c>
      <c r="D17" s="6">
        <f>dados!E17/(dados!F17*3600)*10000*4.1868</f>
        <v>894.57209677419348</v>
      </c>
      <c r="E17" s="6">
        <f>dados!G17/(dados!H17*3600)*10000*4.1868</f>
        <v>768.45720194647186</v>
      </c>
      <c r="F17" s="6">
        <f>dados!I17/(dados!J17*3600)*10000*4.1868</f>
        <v>691.91122260668953</v>
      </c>
      <c r="G17" s="6">
        <f>dados!K17/(dados!L17*3600)*10000*4.1868</f>
        <v>531.3981920199501</v>
      </c>
      <c r="H17" s="6">
        <f>dados!M17/(dados!N17*3600)*10000*4.1868</f>
        <v>563.44776991150445</v>
      </c>
      <c r="I17" s="6">
        <f>dados!O17/(dados!P17*3600)*10000*4.1868</f>
        <v>497.57467441860467</v>
      </c>
      <c r="J17" s="6">
        <f>dados!Q17/(dados!R17*3600)*10000*4.1868</f>
        <v>548.98727454909817</v>
      </c>
      <c r="L17">
        <f t="shared" si="3"/>
        <v>2012</v>
      </c>
      <c r="M17" s="4">
        <f t="shared" si="0"/>
        <v>818.21975366160541</v>
      </c>
      <c r="N17" s="4">
        <f t="shared" si="0"/>
        <v>784.98017377578492</v>
      </c>
      <c r="O17" s="4">
        <f t="shared" si="1"/>
        <v>530.806878783353</v>
      </c>
      <c r="P17" s="4">
        <f t="shared" si="1"/>
        <v>536.66990629306906</v>
      </c>
    </row>
    <row r="18" spans="2:16" x14ac:dyDescent="0.3">
      <c r="B18">
        <f t="shared" si="2"/>
        <v>2013</v>
      </c>
      <c r="C18" s="6">
        <f>dados!C18/(dados!D18*3600)*10000*4.1868</f>
        <v>820.06296437659034</v>
      </c>
      <c r="D18" s="6">
        <f>dados!E18/(dados!F18*3600)*10000*4.1868</f>
        <v>953.1534301270417</v>
      </c>
      <c r="E18" s="6">
        <f>dados!G18/(dados!H18*3600)*10000*4.1868</f>
        <v>784.94378491620103</v>
      </c>
      <c r="F18" s="6">
        <f>dados!I18/(dados!J18*3600)*10000*4.1868</f>
        <v>802.60025600000006</v>
      </c>
      <c r="G18" s="6">
        <f>dados!K18/(dados!L18*3600)*10000*4.1868</f>
        <v>598.80976744186046</v>
      </c>
      <c r="H18" s="6">
        <f>dados!M18/(dados!N18*3600)*10000*4.1868</f>
        <v>634.77443762781184</v>
      </c>
      <c r="I18" s="6">
        <f>dados!O18/(dados!P18*3600)*10000*4.1868</f>
        <v>529.23321114369503</v>
      </c>
      <c r="J18" s="6">
        <f>dados!Q18/(dados!R18*3600)*10000*4.1868</f>
        <v>563.22233568075114</v>
      </c>
      <c r="L18">
        <f t="shared" si="3"/>
        <v>2013</v>
      </c>
      <c r="M18" s="4">
        <f t="shared" si="0"/>
        <v>852.72005980661106</v>
      </c>
      <c r="N18" s="4">
        <f t="shared" si="0"/>
        <v>846.8991570144143</v>
      </c>
      <c r="O18" s="4">
        <f t="shared" si="1"/>
        <v>587.60580540445574</v>
      </c>
      <c r="P18" s="4">
        <f t="shared" si="1"/>
        <v>575.74332815075275</v>
      </c>
    </row>
    <row r="19" spans="2:16" x14ac:dyDescent="0.3">
      <c r="B19">
        <f t="shared" si="2"/>
        <v>2014</v>
      </c>
      <c r="C19" s="6">
        <f>dados!C19/(dados!D19*3600)*10000*4.1868</f>
        <v>763.91845979614936</v>
      </c>
      <c r="D19" s="6">
        <f>dados!E19/(dados!F19*3600)*10000*4.1868</f>
        <v>742.63623578076522</v>
      </c>
      <c r="E19" s="6">
        <f>dados!G19/(dados!H19*3600)*10000*4.1868</f>
        <v>764.25714285714264</v>
      </c>
      <c r="F19" s="6">
        <f>dados!I19/(dados!J19*3600)*10000*4.1868</f>
        <v>697.56435041716315</v>
      </c>
      <c r="G19" s="6">
        <f>dados!K19/(dados!L19*3600)*10000*4.1868</f>
        <v>556.12400820793437</v>
      </c>
      <c r="H19" s="6">
        <f>dados!M19/(dados!N19*3600)*10000*4.1868</f>
        <v>487.61910539215688</v>
      </c>
      <c r="I19" s="6">
        <f>dados!O19/(dados!P19*3600)*10000*4.1868</f>
        <v>536.8747752808988</v>
      </c>
      <c r="J19" s="6">
        <f>dados!Q19/(dados!R19*3600)*10000*4.1868</f>
        <v>556.69960264900658</v>
      </c>
      <c r="L19">
        <f t="shared" si="3"/>
        <v>2014</v>
      </c>
      <c r="M19" s="4">
        <f t="shared" si="0"/>
        <v>756.93727947801915</v>
      </c>
      <c r="N19" s="4">
        <f t="shared" si="0"/>
        <v>734.81924301835704</v>
      </c>
      <c r="O19" s="4">
        <f t="shared" si="1"/>
        <v>526.87262962699663</v>
      </c>
      <c r="P19" s="4">
        <f t="shared" si="1"/>
        <v>527.06449444068733</v>
      </c>
    </row>
    <row r="20" spans="2:16" x14ac:dyDescent="0.3">
      <c r="B20">
        <f t="shared" si="2"/>
        <v>2015</v>
      </c>
      <c r="C20" s="6">
        <f>dados!C20/(dados!D20*3600)*10000*4.1868</f>
        <v>795.25037546933663</v>
      </c>
      <c r="D20" s="6">
        <f>dados!E20/(dados!F20*3600)*10000*4.1868</f>
        <v>818.69336134453772</v>
      </c>
      <c r="E20" s="6">
        <f>dados!G20/(dados!H20*3600)*10000*4.1868</f>
        <v>827.47706921944041</v>
      </c>
      <c r="F20" s="6">
        <f>dados!I20/(dados!J20*3600)*10000*4.1868</f>
        <v>807.70148788927349</v>
      </c>
      <c r="G20" s="6">
        <f>dados!K20/(dados!L20*3600)*10000*4.1868</f>
        <v>608.86032051282052</v>
      </c>
      <c r="H20" s="6">
        <f>dados!M20/(dados!N20*3600)*10000*4.1868</f>
        <v>488.81647509578551</v>
      </c>
      <c r="I20" s="6">
        <f>dados!O20/(dados!P20*3600)*10000*4.1868</f>
        <v>617.84819571865432</v>
      </c>
      <c r="J20" s="6">
        <f>dados!Q20/(dados!R20*3600)*10000*4.1868</f>
        <v>551.09424410540919</v>
      </c>
      <c r="L20">
        <f t="shared" si="3"/>
        <v>2015</v>
      </c>
      <c r="M20" s="4">
        <f t="shared" si="0"/>
        <v>813.80693534443833</v>
      </c>
      <c r="N20" s="4">
        <f t="shared" si="0"/>
        <v>817.95730615108403</v>
      </c>
      <c r="O20" s="4">
        <f t="shared" si="1"/>
        <v>571.84166377575343</v>
      </c>
      <c r="P20" s="4">
        <f t="shared" si="1"/>
        <v>552.58630497328306</v>
      </c>
    </row>
    <row r="21" spans="2:16" x14ac:dyDescent="0.3">
      <c r="B21">
        <f t="shared" si="2"/>
        <v>2016</v>
      </c>
      <c r="C21" s="6">
        <f>dados!C21/(dados!D21*3600)*10000*4.1868</f>
        <v>1022.0904436860068</v>
      </c>
      <c r="D21" s="6">
        <f>dados!E21/(dados!F21*3600)*10000*4.1868</f>
        <v>923.36586726998473</v>
      </c>
      <c r="E21" s="6">
        <f>dados!G21/(dados!H21*3600)*10000*4.1868</f>
        <v>856.1999277456647</v>
      </c>
      <c r="F21" s="6">
        <f>dados!I21/(dados!J21*3600)*10000*4.1868</f>
        <v>702.3200283687944</v>
      </c>
      <c r="G21" s="6">
        <f>dados!K21/(dados!L21*3600)*10000*4.1868</f>
        <v>584.31632404181175</v>
      </c>
      <c r="H21" s="6">
        <f>dados!M21/(dados!N21*3600)*10000*4.1868</f>
        <v>499.04991869918695</v>
      </c>
      <c r="I21" s="6">
        <f>dados!O21/(dados!P21*3600)*10000*4.1868</f>
        <v>495.3872891814068</v>
      </c>
      <c r="J21" s="6">
        <f>dados!Q21/(dados!R21*3600)*10000*4.1868</f>
        <v>571.10490591397854</v>
      </c>
      <c r="L21">
        <f t="shared" si="3"/>
        <v>2016</v>
      </c>
      <c r="M21" s="4">
        <f t="shared" si="0"/>
        <v>933.88541290055207</v>
      </c>
      <c r="N21" s="4">
        <f t="shared" si="0"/>
        <v>827.29527446148131</v>
      </c>
      <c r="O21" s="4">
        <f t="shared" si="1"/>
        <v>526.25117730746842</v>
      </c>
      <c r="P21" s="4">
        <f t="shared" si="1"/>
        <v>521.84737126485743</v>
      </c>
    </row>
    <row r="22" spans="2:16" x14ac:dyDescent="0.3">
      <c r="B22">
        <f>B21+1</f>
        <v>2017</v>
      </c>
      <c r="C22" s="6">
        <f>dados!C22/(dados!D22*3600)*10000*4.1868</f>
        <v>859.30203629924745</v>
      </c>
      <c r="D22" s="6">
        <f>dados!E22/(dados!F22*3600)*10000*4.1868</f>
        <v>951.6343543543544</v>
      </c>
      <c r="E22" s="6">
        <f>dados!G22/(dados!H22*3600)*10000*4.1868</f>
        <v>772.53686940122611</v>
      </c>
      <c r="F22" s="6">
        <f>dados!I22/(dados!J22*3600)*10000*4.1868</f>
        <v>704.1007857733664</v>
      </c>
      <c r="G22" s="6">
        <f>dados!K22/(dados!L22*3600)*10000*4.1868</f>
        <v>549.39576436222023</v>
      </c>
      <c r="H22" s="6">
        <f>dados!M22/(dados!N22*3600)*10000*4.1868</f>
        <v>497.95365510777873</v>
      </c>
      <c r="I22" s="6">
        <f>dados!O22/(dados!P22*3600)*10000*4.1868</f>
        <v>469.11289719626166</v>
      </c>
      <c r="J22" s="6">
        <f>dados!Q22/(dados!R22*3600)*10000*4.1868</f>
        <v>547.82806312769003</v>
      </c>
      <c r="L22">
        <f>L21+1</f>
        <v>2017</v>
      </c>
      <c r="M22" s="4">
        <f t="shared" si="0"/>
        <v>861.15775335160924</v>
      </c>
      <c r="N22" s="4">
        <f t="shared" si="0"/>
        <v>809.42400317631564</v>
      </c>
      <c r="O22" s="4">
        <f t="shared" si="1"/>
        <v>505.48743888875356</v>
      </c>
      <c r="P22" s="4">
        <f t="shared" si="1"/>
        <v>504.96487181057682</v>
      </c>
    </row>
    <row r="23" spans="2:16" x14ac:dyDescent="0.3">
      <c r="B23">
        <f t="shared" si="2"/>
        <v>2018</v>
      </c>
      <c r="C23" s="6">
        <f>dados!C23/(dados!D23*3600)*10000*4.1868</f>
        <v>828.97281751824801</v>
      </c>
      <c r="D23" s="6">
        <f>dados!E23/(dados!F23*3600)*10000*4.1868</f>
        <v>925.65176918889506</v>
      </c>
      <c r="E23" s="6">
        <f>dados!G23/(dados!H23*3600)*10000*4.1868</f>
        <v>754.67664233576636</v>
      </c>
      <c r="F23" s="6">
        <f>dados!I23/(dados!J23*3600)*10000*4.1868</f>
        <v>657.89447708578155</v>
      </c>
      <c r="G23" s="6">
        <f>dados!K23/(dados!L23*3600)*10000*4.1868</f>
        <v>474.38890662410216</v>
      </c>
      <c r="H23" s="6">
        <f>dados!M23/(dados!N23*3600)*10000*4.1868</f>
        <v>555.86129822412738</v>
      </c>
      <c r="I23" s="6">
        <f>dados!O23/(dados!P23*3600)*10000*4.1868</f>
        <v>452.28784573432017</v>
      </c>
      <c r="J23" s="6">
        <f>dados!Q23/(dados!R23*3600)*10000*4.1868</f>
        <v>593.53229559748422</v>
      </c>
      <c r="L23">
        <f t="shared" si="3"/>
        <v>2018</v>
      </c>
      <c r="M23" s="4">
        <f t="shared" si="0"/>
        <v>836.4337430143031</v>
      </c>
      <c r="N23" s="4">
        <f t="shared" si="0"/>
        <v>779.4076295368144</v>
      </c>
      <c r="O23" s="4">
        <f t="shared" si="1"/>
        <v>494.1793501941832</v>
      </c>
      <c r="P23" s="4">
        <f t="shared" si="1"/>
        <v>533.89381318531059</v>
      </c>
    </row>
    <row r="24" spans="2:16" x14ac:dyDescent="0.3">
      <c r="B24">
        <f t="shared" si="2"/>
        <v>2019</v>
      </c>
      <c r="C24" s="6">
        <f>dados!C24/(dados!D24*3600)*10000*4.1868</f>
        <v>799.20334473584182</v>
      </c>
      <c r="D24" s="6">
        <f>dados!E24/(dados!F24*3600)*10000*4.1868</f>
        <v>792.22826576576574</v>
      </c>
      <c r="E24" s="6">
        <f>dados!G24/(dados!H24*3600)*10000*4.1868</f>
        <v>943.88740888005213</v>
      </c>
      <c r="F24" s="6">
        <f>dados!I24/(dados!J24*3600)*10000*4.1868</f>
        <v>775.31540240518029</v>
      </c>
      <c r="G24" s="6">
        <f>dados!K24/(dados!L24*3600)*10000*4.1868</f>
        <v>595.26566000974185</v>
      </c>
      <c r="H24" s="6">
        <f>dados!M24/(dados!N24*3600)*10000*4.1868</f>
        <v>503.46902011125377</v>
      </c>
      <c r="I24" s="6">
        <f>dados!O24/(dados!P24*3600)*10000*4.1868</f>
        <v>511.94803921568632</v>
      </c>
      <c r="J24" s="6">
        <f>dados!Q24/(dados!R24*3600)*10000*4.1868</f>
        <v>589.02642209398186</v>
      </c>
      <c r="L24">
        <f t="shared" si="3"/>
        <v>2019</v>
      </c>
      <c r="M24" s="4">
        <f t="shared" ref="M24:M30" si="4">AVERAGE(C24:E24)</f>
        <v>845.1063397938866</v>
      </c>
      <c r="N24" s="4">
        <f t="shared" ref="N24:N30" si="5">AVERAGE(D24:F24)</f>
        <v>837.1436923503328</v>
      </c>
      <c r="O24" s="4">
        <f t="shared" ref="O24:O30" si="6">AVERAGE(G24:I24)</f>
        <v>536.89423977889396</v>
      </c>
      <c r="P24" s="4">
        <f t="shared" ref="P24:P30" si="7">AVERAGE(H24:J24)</f>
        <v>534.81449380697393</v>
      </c>
    </row>
    <row r="25" spans="2:16" x14ac:dyDescent="0.3">
      <c r="B25">
        <f t="shared" si="2"/>
        <v>2020</v>
      </c>
      <c r="C25" s="6">
        <f>dados!C25/(dados!D25*3600)*10000*4.1868</f>
        <v>918.34598958333322</v>
      </c>
      <c r="D25" s="6">
        <f>dados!E25/(dados!F25*3600)*10000*4.1868</f>
        <v>898.10407352210621</v>
      </c>
      <c r="E25" s="6">
        <f>dados!G25/(dados!H25*3600)*10000*4.1868</f>
        <v>1070.6050570962482</v>
      </c>
      <c r="F25" s="6">
        <f>dados!I25/(dados!J25*3600)*10000*4.1868</f>
        <v>715.79341387373347</v>
      </c>
      <c r="G25" s="6">
        <f>dados!K25/(dados!L25*3600)*10000*4.1868</f>
        <v>565.30632911392399</v>
      </c>
      <c r="H25" s="6">
        <f>dados!M25/(dados!N25*3600)*10000*4.1868</f>
        <v>559.22570170610891</v>
      </c>
      <c r="I25" s="6">
        <f>dados!O25/(dados!P25*3600)*10000*4.1868</f>
        <v>522.92623481781368</v>
      </c>
      <c r="J25" s="6">
        <f>dados!Q25/(dados!R25*3600)*10000*4.1868</f>
        <v>612.33993610223649</v>
      </c>
      <c r="L25">
        <f t="shared" si="3"/>
        <v>2020</v>
      </c>
      <c r="M25" s="4">
        <f t="shared" si="4"/>
        <v>962.35170673389587</v>
      </c>
      <c r="N25" s="4">
        <f t="shared" si="5"/>
        <v>894.83418149736247</v>
      </c>
      <c r="O25" s="4">
        <f t="shared" si="6"/>
        <v>549.15275521261549</v>
      </c>
      <c r="P25" s="4">
        <f t="shared" si="7"/>
        <v>564.83062420871966</v>
      </c>
    </row>
    <row r="26" spans="2:16" x14ac:dyDescent="0.3">
      <c r="B26">
        <f t="shared" si="2"/>
        <v>2021</v>
      </c>
      <c r="C26" s="6">
        <f>dados!C26/(dados!D26*3600)*10000*4.1868</f>
        <v>964.17479452054795</v>
      </c>
      <c r="D26" s="6">
        <f>dados!E26/(dados!F26*3600)*10000*4.1868</f>
        <v>922.18336758877012</v>
      </c>
      <c r="E26" s="6">
        <f>dados!G26/(dados!H26*3600)*10000*4.1868</f>
        <v>843.52957317073185</v>
      </c>
      <c r="F26" s="6">
        <f>dados!I26/(dados!J26*3600)*10000*4.1868</f>
        <v>786.69529717731757</v>
      </c>
      <c r="G26" s="6">
        <f>dados!K26/(dados!L26*3600)*10000*4.1868</f>
        <v>591.38479231264705</v>
      </c>
      <c r="H26" s="6">
        <f>dados!M26/(dados!N26*3600)*10000*4.1868</f>
        <v>554.32321989330705</v>
      </c>
      <c r="I26" s="6">
        <f>dados!O26/(dados!P26*3600)*10000*4.1868</f>
        <v>520.86292147283689</v>
      </c>
      <c r="J26" s="6">
        <f>dados!Q26/(dados!R26*3600)*10000*4.1868</f>
        <v>592.40483912731008</v>
      </c>
      <c r="L26">
        <f t="shared" si="3"/>
        <v>2021</v>
      </c>
      <c r="M26" s="4">
        <f t="shared" si="4"/>
        <v>909.96257842668331</v>
      </c>
      <c r="N26" s="4">
        <f t="shared" si="5"/>
        <v>850.80274597893992</v>
      </c>
      <c r="O26" s="4">
        <f t="shared" si="6"/>
        <v>555.52364455959707</v>
      </c>
      <c r="P26" s="4">
        <f t="shared" si="7"/>
        <v>555.86366016448471</v>
      </c>
    </row>
    <row r="27" spans="2:16" x14ac:dyDescent="0.3">
      <c r="B27">
        <f t="shared" si="2"/>
        <v>2022</v>
      </c>
      <c r="C27" s="6">
        <f>dados!C27/(dados!D27*3600)*10000*4.1868</f>
        <v>851.09262396393251</v>
      </c>
      <c r="D27" s="6">
        <f>dados!E27/(dados!F27*3600)*10000*4.1868</f>
        <v>938.67380656021191</v>
      </c>
      <c r="E27" s="6">
        <f>dados!G27/(dados!H27*3600)*10000*4.1868</f>
        <v>816.04311923214561</v>
      </c>
      <c r="F27" s="6">
        <f>dados!I27/(dados!J27*3600)*10000*4.1868</f>
        <v>763.93093826674999</v>
      </c>
      <c r="G27" s="6">
        <f>dados!K27/(dados!L27*3600)*10000*4.1868</f>
        <v>580.47697482313947</v>
      </c>
      <c r="H27" s="6">
        <f>dados!M27/(dados!N27*3600)*10000*4.1868</f>
        <v>538.5936559633675</v>
      </c>
      <c r="I27" s="6">
        <f>dados!O27/(dados!P27*3600)*10000*4.1868</f>
        <v>530.7582276499478</v>
      </c>
      <c r="J27" s="6">
        <f>dados!Q27/(dados!R27*3600)*10000*4.1868</f>
        <v>651.18418721980174</v>
      </c>
      <c r="L27">
        <f t="shared" si="3"/>
        <v>2022</v>
      </c>
      <c r="M27" s="4">
        <f t="shared" si="4"/>
        <v>868.60318325209664</v>
      </c>
      <c r="N27" s="4">
        <f t="shared" si="5"/>
        <v>839.54928801970254</v>
      </c>
      <c r="O27" s="4">
        <f t="shared" si="6"/>
        <v>549.9429528121517</v>
      </c>
      <c r="P27" s="4">
        <f t="shared" si="7"/>
        <v>573.51202361103901</v>
      </c>
    </row>
    <row r="28" spans="2:16" x14ac:dyDescent="0.3">
      <c r="B28">
        <f t="shared" si="2"/>
        <v>2023</v>
      </c>
      <c r="C28" s="6">
        <f>dados!C28/(dados!D28*3600)*10000*4.1868</f>
        <v>935.38562706733626</v>
      </c>
      <c r="D28" s="6">
        <f>dados!E28/(dados!F28*3600)*10000*4.1868</f>
        <v>985.33480676810018</v>
      </c>
      <c r="E28" s="6">
        <f>dados!G28/(dados!H28*3600)*10000*4.1868</f>
        <v>980.62880336577348</v>
      </c>
      <c r="F28" s="6">
        <f>dados!I28/(dados!J28*3600)*10000*4.1868</f>
        <v>786.2435477176391</v>
      </c>
      <c r="G28" s="6">
        <f>dados!K28/(dados!L28*3600)*10000*4.1868</f>
        <v>575.08564552287601</v>
      </c>
      <c r="H28" s="6">
        <f>dados!M28/(dados!N28*3600)*10000*4.1868</f>
        <v>520.49834117959472</v>
      </c>
      <c r="I28" s="6">
        <f>dados!O28/(dados!P28*3600)*10000*4.1868</f>
        <v>557.21693754958767</v>
      </c>
      <c r="J28" s="6">
        <f>dados!Q28/(dados!R28*3600)*10000*4.1868</f>
        <v>641.38339304294391</v>
      </c>
      <c r="L28">
        <f t="shared" si="3"/>
        <v>2023</v>
      </c>
      <c r="M28" s="4">
        <f t="shared" si="4"/>
        <v>967.11641240040319</v>
      </c>
      <c r="N28" s="4">
        <f t="shared" si="5"/>
        <v>917.40238595050425</v>
      </c>
      <c r="O28" s="4">
        <f t="shared" si="6"/>
        <v>550.93364141735276</v>
      </c>
      <c r="P28" s="4">
        <f t="shared" si="7"/>
        <v>573.0328905907088</v>
      </c>
    </row>
    <row r="29" spans="2:16" x14ac:dyDescent="0.3">
      <c r="B29">
        <f t="shared" si="2"/>
        <v>2024</v>
      </c>
      <c r="C29" s="6">
        <f>dados!C29/(dados!D29*3600)*10000*4.1868</f>
        <v>750.3481771894094</v>
      </c>
      <c r="D29" s="6">
        <f>dados!E29/(dados!F29*3600)*10000*4.1868</f>
        <v>839.76879008761466</v>
      </c>
      <c r="E29" s="6">
        <f>dados!G29/(dados!H29*3600)*10000*4.1868</f>
        <v>857.72572146699019</v>
      </c>
      <c r="F29" s="6">
        <f>dados!I29/(dados!J29*3600)*10000*4.1868</f>
        <v>779.56459342308904</v>
      </c>
      <c r="G29" s="6">
        <f>dados!K29/(dados!L29*3600)*10000*4.1868</f>
        <v>581.69422851621266</v>
      </c>
      <c r="H29" s="6">
        <f>dados!M29/(dados!N29*3600)*10000*4.1868</f>
        <v>510.43359317396369</v>
      </c>
      <c r="I29" s="6">
        <f>dados!O29/(dados!P29*3600)*10000*4.1868</f>
        <v>574.35798786613555</v>
      </c>
      <c r="J29" s="6">
        <f>dados!Q29/(dados!R29*3600)*10000*4.1868</f>
        <v>576.51925872498805</v>
      </c>
      <c r="L29">
        <f t="shared" si="3"/>
        <v>2024</v>
      </c>
      <c r="M29" s="4">
        <f t="shared" si="4"/>
        <v>815.94756291467138</v>
      </c>
      <c r="N29" s="4">
        <f t="shared" si="5"/>
        <v>825.686368325898</v>
      </c>
      <c r="O29" s="4">
        <f t="shared" si="6"/>
        <v>555.495269852104</v>
      </c>
      <c r="P29" s="4">
        <f t="shared" si="7"/>
        <v>553.77027992169576</v>
      </c>
    </row>
    <row r="30" spans="2:16" x14ac:dyDescent="0.3">
      <c r="B30">
        <f t="shared" si="2"/>
        <v>2025</v>
      </c>
      <c r="C30" s="6">
        <f>dados!C30/(dados!D30*3600)*10000*4.1868</f>
        <v>905.58109513742079</v>
      </c>
      <c r="D30" s="6">
        <f>dados!E30/(dados!F30*3600)*10000*4.1868</f>
        <v>870.57972866394675</v>
      </c>
      <c r="E30" s="6">
        <f>dados!G30/(dados!H30*3600)*10000*4.1868</f>
        <v>838.80016645493731</v>
      </c>
      <c r="F30" s="6">
        <f>dados!I30/(dados!J30*3600)*10000*4.1868</f>
        <v>752.50346790922652</v>
      </c>
      <c r="G30" s="6">
        <f>dados!K30/(dados!L30*3600)*10000*4.1868</f>
        <v>581.8570999394733</v>
      </c>
      <c r="H30" s="6">
        <f>dados!M30/(dados!N30*3600)*10000*4.1868</f>
        <v>567.55483548407926</v>
      </c>
      <c r="I30" s="6">
        <f>dados!O30/(dados!P30*3600)*10000*4.1868</f>
        <v>561.98502504776866</v>
      </c>
      <c r="J30" s="6">
        <f>dados!Q30/(dados!R30*3600)*10000*4.1868</f>
        <v>592.92762471591323</v>
      </c>
      <c r="L30">
        <f t="shared" si="3"/>
        <v>2025</v>
      </c>
      <c r="M30" s="4">
        <f t="shared" si="4"/>
        <v>871.65366341876825</v>
      </c>
      <c r="N30" s="4">
        <f t="shared" si="5"/>
        <v>820.62778767603686</v>
      </c>
      <c r="O30" s="4">
        <f t="shared" si="6"/>
        <v>570.46565349044045</v>
      </c>
      <c r="P30" s="4">
        <f t="shared" si="7"/>
        <v>574.15582841592038</v>
      </c>
    </row>
    <row r="31" spans="2:16" x14ac:dyDescent="0.3">
      <c r="M31" s="5"/>
      <c r="N31" s="5"/>
      <c r="O31" s="5"/>
      <c r="P31" s="5"/>
    </row>
    <row r="32" spans="2:16" x14ac:dyDescent="0.3">
      <c r="K32" s="3" t="s">
        <v>14</v>
      </c>
      <c r="L32" s="3"/>
      <c r="M32" s="4">
        <f>AVERAGE(M3:M30)</f>
        <v>887.35169271097868</v>
      </c>
      <c r="N32" s="4">
        <f t="shared" ref="N32:P32" si="8">AVERAGE(N3:N30)</f>
        <v>848.28840793451616</v>
      </c>
      <c r="O32" s="4">
        <f t="shared" si="8"/>
        <v>542.39736090518602</v>
      </c>
      <c r="P32" s="4">
        <f t="shared" si="8"/>
        <v>548.31951549152404</v>
      </c>
    </row>
  </sheetData>
  <mergeCells count="1">
    <mergeCell ref="K32:L3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tabela_e_medias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Coelho</dc:creator>
  <cp:lastModifiedBy>Augusto Coelho</cp:lastModifiedBy>
  <dcterms:created xsi:type="dcterms:W3CDTF">2026-01-29T17:32:52Z</dcterms:created>
  <dcterms:modified xsi:type="dcterms:W3CDTF">2026-01-29T18:26:29Z</dcterms:modified>
</cp:coreProperties>
</file>