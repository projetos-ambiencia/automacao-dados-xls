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rojeto_meteorologia\dados_brutos\"/>
    </mc:Choice>
  </mc:AlternateContent>
  <xr:revisionPtr revIDLastSave="0" documentId="13_ncr:1_{ADB312C3-3E5D-4F5E-9582-07DBEA0A5D66}" xr6:coauthVersionLast="47" xr6:coauthVersionMax="47" xr10:uidLastSave="{00000000-0000-0000-0000-000000000000}"/>
  <bookViews>
    <workbookView xWindow="-108" yWindow="-108" windowWidth="23256" windowHeight="12456" activeTab="1" xr2:uid="{0D65FA80-CCD7-4443-B344-6C672E38A84E}"/>
  </bookViews>
  <sheets>
    <sheet name="Planilha1" sheetId="1" r:id="rId1"/>
    <sheet name="medias" sheetId="3" r:id="rId2"/>
    <sheet name="conversao_direca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3" l="1"/>
  <c r="O25" i="3"/>
  <c r="P25" i="3"/>
  <c r="M25" i="3"/>
  <c r="C3" i="3"/>
  <c r="M3" i="3" s="1"/>
  <c r="M4" i="3"/>
  <c r="N4" i="3"/>
  <c r="O4" i="3"/>
  <c r="P4" i="3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M11" i="3"/>
  <c r="N11" i="3"/>
  <c r="O11" i="3"/>
  <c r="P11" i="3"/>
  <c r="M12" i="3"/>
  <c r="N12" i="3"/>
  <c r="O12" i="3"/>
  <c r="P12" i="3"/>
  <c r="M13" i="3"/>
  <c r="N13" i="3"/>
  <c r="O13" i="3"/>
  <c r="P13" i="3"/>
  <c r="M14" i="3"/>
  <c r="N14" i="3"/>
  <c r="O14" i="3"/>
  <c r="P14" i="3"/>
  <c r="M15" i="3"/>
  <c r="N15" i="3"/>
  <c r="O15" i="3"/>
  <c r="P15" i="3"/>
  <c r="M16" i="3"/>
  <c r="N16" i="3"/>
  <c r="O16" i="3"/>
  <c r="P16" i="3"/>
  <c r="M17" i="3"/>
  <c r="N17" i="3"/>
  <c r="O17" i="3"/>
  <c r="P17" i="3"/>
  <c r="M18" i="3"/>
  <c r="N18" i="3"/>
  <c r="O18" i="3"/>
  <c r="P18" i="3"/>
  <c r="M19" i="3"/>
  <c r="N19" i="3"/>
  <c r="O19" i="3"/>
  <c r="P19" i="3"/>
  <c r="M20" i="3"/>
  <c r="N20" i="3"/>
  <c r="O20" i="3"/>
  <c r="P20" i="3"/>
  <c r="M21" i="3"/>
  <c r="N21" i="3"/>
  <c r="O21" i="3"/>
  <c r="P21" i="3"/>
  <c r="M22" i="3"/>
  <c r="N22" i="3"/>
  <c r="O22" i="3"/>
  <c r="P22" i="3"/>
  <c r="M23" i="3"/>
  <c r="N23" i="3"/>
  <c r="O23" i="3"/>
  <c r="P23" i="3"/>
  <c r="P3" i="3"/>
  <c r="O3" i="3"/>
  <c r="N3" i="3"/>
  <c r="C10" i="3"/>
  <c r="C4" i="3"/>
  <c r="D4" i="3"/>
  <c r="E4" i="3"/>
  <c r="F4" i="3"/>
  <c r="G4" i="3"/>
  <c r="H4" i="3"/>
  <c r="I4" i="3"/>
  <c r="J4" i="3"/>
  <c r="C5" i="3"/>
  <c r="D5" i="3"/>
  <c r="E5" i="3"/>
  <c r="F5" i="3"/>
  <c r="G5" i="3"/>
  <c r="H5" i="3"/>
  <c r="I5" i="3"/>
  <c r="J5" i="3"/>
  <c r="C6" i="3"/>
  <c r="D6" i="3"/>
  <c r="E6" i="3"/>
  <c r="F6" i="3"/>
  <c r="G6" i="3"/>
  <c r="H6" i="3"/>
  <c r="I6" i="3"/>
  <c r="J6" i="3"/>
  <c r="C7" i="3"/>
  <c r="D7" i="3"/>
  <c r="E7" i="3"/>
  <c r="F7" i="3"/>
  <c r="G7" i="3"/>
  <c r="H7" i="3"/>
  <c r="I7" i="3"/>
  <c r="J7" i="3"/>
  <c r="C8" i="3"/>
  <c r="D8" i="3"/>
  <c r="E8" i="3"/>
  <c r="F8" i="3"/>
  <c r="G8" i="3"/>
  <c r="H8" i="3"/>
  <c r="I8" i="3"/>
  <c r="J8" i="3"/>
  <c r="C9" i="3"/>
  <c r="D9" i="3"/>
  <c r="E9" i="3"/>
  <c r="F9" i="3"/>
  <c r="G9" i="3"/>
  <c r="H9" i="3"/>
  <c r="I9" i="3"/>
  <c r="J9" i="3"/>
  <c r="D10" i="3"/>
  <c r="E10" i="3"/>
  <c r="F10" i="3"/>
  <c r="G10" i="3"/>
  <c r="H10" i="3"/>
  <c r="I10" i="3"/>
  <c r="J10" i="3"/>
  <c r="C11" i="3"/>
  <c r="D11" i="3"/>
  <c r="E11" i="3"/>
  <c r="F11" i="3"/>
  <c r="G11" i="3"/>
  <c r="H11" i="3"/>
  <c r="I11" i="3"/>
  <c r="J11" i="3"/>
  <c r="C12" i="3"/>
  <c r="D12" i="3"/>
  <c r="E12" i="3"/>
  <c r="F12" i="3"/>
  <c r="G12" i="3"/>
  <c r="H12" i="3"/>
  <c r="I12" i="3"/>
  <c r="J12" i="3"/>
  <c r="C13" i="3"/>
  <c r="D13" i="3"/>
  <c r="E13" i="3"/>
  <c r="F13" i="3"/>
  <c r="G13" i="3"/>
  <c r="H13" i="3"/>
  <c r="I13" i="3"/>
  <c r="J13" i="3"/>
  <c r="C14" i="3"/>
  <c r="D14" i="3"/>
  <c r="E14" i="3"/>
  <c r="F14" i="3"/>
  <c r="G14" i="3"/>
  <c r="H14" i="3"/>
  <c r="I14" i="3"/>
  <c r="J14" i="3"/>
  <c r="C15" i="3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D3" i="3"/>
  <c r="E3" i="3"/>
  <c r="F3" i="3"/>
  <c r="G3" i="3"/>
  <c r="H3" i="3"/>
  <c r="I3" i="3"/>
  <c r="J3" i="3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M3" i="1"/>
  <c r="N3" i="1"/>
  <c r="O3" i="1"/>
  <c r="P3" i="1"/>
  <c r="Q3" i="1"/>
  <c r="R3" i="1"/>
  <c r="S3" i="1"/>
  <c r="T3" i="1"/>
  <c r="M4" i="1"/>
  <c r="N4" i="1"/>
  <c r="O4" i="1"/>
  <c r="P4" i="1"/>
  <c r="Q4" i="1"/>
  <c r="R4" i="1"/>
  <c r="S4" i="1"/>
  <c r="T4" i="1"/>
  <c r="M5" i="1"/>
  <c r="N5" i="1"/>
  <c r="O5" i="1"/>
  <c r="P5" i="1"/>
  <c r="Q5" i="1"/>
  <c r="R5" i="1"/>
  <c r="S5" i="1"/>
  <c r="T5" i="1"/>
  <c r="M6" i="1"/>
  <c r="N6" i="1"/>
  <c r="O6" i="1"/>
  <c r="P6" i="1"/>
  <c r="Q6" i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M17" i="1"/>
  <c r="N17" i="1"/>
  <c r="O17" i="1"/>
  <c r="P17" i="1"/>
  <c r="Q17" i="1"/>
  <c r="R17" i="1"/>
  <c r="S17" i="1"/>
  <c r="T17" i="1"/>
  <c r="M18" i="1"/>
  <c r="N18" i="1"/>
  <c r="O18" i="1"/>
  <c r="P18" i="1"/>
  <c r="Q18" i="1"/>
  <c r="R18" i="1"/>
  <c r="S18" i="1"/>
  <c r="T18" i="1"/>
  <c r="M19" i="1"/>
  <c r="N19" i="1"/>
  <c r="O19" i="1"/>
  <c r="P19" i="1"/>
  <c r="Q19" i="1"/>
  <c r="R19" i="1"/>
  <c r="S19" i="1"/>
  <c r="T19" i="1"/>
  <c r="M20" i="1"/>
  <c r="N20" i="1"/>
  <c r="O20" i="1"/>
  <c r="P20" i="1"/>
  <c r="Q20" i="1"/>
  <c r="R20" i="1"/>
  <c r="S20" i="1"/>
  <c r="T20" i="1"/>
  <c r="M21" i="1"/>
  <c r="N21" i="1"/>
  <c r="O21" i="1"/>
  <c r="P21" i="1"/>
  <c r="Q21" i="1"/>
  <c r="R21" i="1"/>
  <c r="S21" i="1"/>
  <c r="T21" i="1"/>
  <c r="M22" i="1"/>
  <c r="N22" i="1"/>
  <c r="O22" i="1"/>
  <c r="P22" i="1"/>
  <c r="Q22" i="1"/>
  <c r="R22" i="1"/>
  <c r="S22" i="1"/>
  <c r="T22" i="1"/>
  <c r="N2" i="1"/>
  <c r="O2" i="1"/>
  <c r="P2" i="1"/>
  <c r="Q2" i="1"/>
  <c r="R2" i="1"/>
  <c r="S2" i="1"/>
  <c r="T2" i="1"/>
  <c r="M2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<sst xmlns="http://schemas.openxmlformats.org/spreadsheetml/2006/main" count="205" uniqueCount="31">
  <si>
    <t>jan</t>
  </si>
  <si>
    <t>fev</t>
  </si>
  <si>
    <t>mar</t>
  </si>
  <si>
    <t>mai</t>
  </si>
  <si>
    <t>jun</t>
  </si>
  <si>
    <t>jul</t>
  </si>
  <si>
    <t>ago</t>
  </si>
  <si>
    <t>S</t>
  </si>
  <si>
    <t>E</t>
  </si>
  <si>
    <t>SE</t>
  </si>
  <si>
    <t>W</t>
  </si>
  <si>
    <t>NE</t>
  </si>
  <si>
    <t>N</t>
  </si>
  <si>
    <t>SW</t>
  </si>
  <si>
    <t>dez(ano anterior)</t>
  </si>
  <si>
    <t>Direção</t>
  </si>
  <si>
    <t>Graus</t>
  </si>
  <si>
    <t>NNE</t>
  </si>
  <si>
    <t>ENE</t>
  </si>
  <si>
    <t>ESE</t>
  </si>
  <si>
    <t>SSE</t>
  </si>
  <si>
    <t>SSW</t>
  </si>
  <si>
    <t>WSW</t>
  </si>
  <si>
    <t>WNW</t>
  </si>
  <si>
    <t>NW</t>
  </si>
  <si>
    <t>NNW</t>
  </si>
  <si>
    <t>dez-fev</t>
  </si>
  <si>
    <t>jan-mar</t>
  </si>
  <si>
    <t>mai-jul</t>
  </si>
  <si>
    <t>jun-ago</t>
  </si>
  <si>
    <t>media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</si>
</sst>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567E-C042-4B22-AD3E-F7E631F3DACF}">
  <dimension ref="A1:T22"/>
  <sheetViews>
    <sheetView workbookViewId="0">
      <selection activeCell="B9" sqref="B9"/>
    </sheetView>
  </sheetViews>
  <sheetFormatPr defaultRowHeight="14.4" x14ac:dyDescent="0.3"/>
  <cols>
    <col min="2" max="2" width="21" customWidth="1"/>
    <col min="13" max="13" width="17.109375" customWidth="1"/>
  </cols>
  <sheetData>
    <row r="1" spans="1:20" x14ac:dyDescent="0.3"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M1" s="1" t="s">
        <v>14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</row>
    <row r="2" spans="1:20" x14ac:dyDescent="0.3">
      <c r="A2">
        <v>1998</v>
      </c>
      <c r="B2" s="2" t="s">
        <v>7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9</v>
      </c>
      <c r="I2" s="1" t="s">
        <v>9</v>
      </c>
      <c r="L2">
        <v>1998</v>
      </c>
      <c r="M2" s="2">
        <f>IFERROR(_xlfn.XLOOKUP(B2, conversao_direcao!$A:$A, conversao_direcao!$B:$B), "")</f>
        <v>180</v>
      </c>
      <c r="N2" s="2">
        <f>IFERROR(_xlfn.XLOOKUP(C2, conversao_direcao!$A:$A, conversao_direcao!$B:$B), "")</f>
        <v>90</v>
      </c>
      <c r="O2" s="2">
        <f>IFERROR(_xlfn.XLOOKUP(D2, conversao_direcao!$A:$A, conversao_direcao!$B:$B), "")</f>
        <v>180</v>
      </c>
      <c r="P2" s="2">
        <f>IFERROR(_xlfn.XLOOKUP(E2, conversao_direcao!$A:$A, conversao_direcao!$B:$B), "")</f>
        <v>180</v>
      </c>
      <c r="Q2" s="2">
        <f>IFERROR(_xlfn.XLOOKUP(F2, conversao_direcao!$A:$A, conversao_direcao!$B:$B), "")</f>
        <v>180</v>
      </c>
      <c r="R2" s="2">
        <f>IFERROR(_xlfn.XLOOKUP(G2, conversao_direcao!$A:$A, conversao_direcao!$B:$B), "")</f>
        <v>180</v>
      </c>
      <c r="S2" s="2">
        <f>IFERROR(_xlfn.XLOOKUP(H2, conversao_direcao!$A:$A, conversao_direcao!$B:$B), "")</f>
        <v>135</v>
      </c>
      <c r="T2" s="2">
        <f>IFERROR(_xlfn.XLOOKUP(I2, conversao_direcao!$A:$A, conversao_direcao!$B:$B), "")</f>
        <v>135</v>
      </c>
    </row>
    <row r="3" spans="1:20" x14ac:dyDescent="0.3">
      <c r="A3">
        <f>A2+1</f>
        <v>1999</v>
      </c>
      <c r="B3" s="2" t="s">
        <v>8</v>
      </c>
      <c r="C3" s="2" t="s">
        <v>7</v>
      </c>
      <c r="D3" s="2" t="s">
        <v>8</v>
      </c>
      <c r="E3" s="2" t="s">
        <v>7</v>
      </c>
      <c r="F3" s="2" t="s">
        <v>8</v>
      </c>
      <c r="G3" s="2" t="s">
        <v>8</v>
      </c>
      <c r="H3" s="2" t="s">
        <v>8</v>
      </c>
      <c r="I3" s="1" t="s">
        <v>8</v>
      </c>
      <c r="L3">
        <f>L2+1</f>
        <v>1999</v>
      </c>
      <c r="M3" s="2">
        <f>IFERROR(_xlfn.XLOOKUP(B3, conversao_direcao!$A:$A, conversao_direcao!$B:$B), "")</f>
        <v>90</v>
      </c>
      <c r="N3" s="2">
        <f>IFERROR(_xlfn.XLOOKUP(C3, conversao_direcao!$A:$A, conversao_direcao!$B:$B), "")</f>
        <v>180</v>
      </c>
      <c r="O3" s="2">
        <f>IFERROR(_xlfn.XLOOKUP(D3, conversao_direcao!$A:$A, conversao_direcao!$B:$B), "")</f>
        <v>90</v>
      </c>
      <c r="P3" s="2">
        <f>IFERROR(_xlfn.XLOOKUP(E3, conversao_direcao!$A:$A, conversao_direcao!$B:$B), "")</f>
        <v>180</v>
      </c>
      <c r="Q3" s="2">
        <f>IFERROR(_xlfn.XLOOKUP(F3, conversao_direcao!$A:$A, conversao_direcao!$B:$B), "")</f>
        <v>90</v>
      </c>
      <c r="R3" s="2">
        <f>IFERROR(_xlfn.XLOOKUP(G3, conversao_direcao!$A:$A, conversao_direcao!$B:$B), "")</f>
        <v>90</v>
      </c>
      <c r="S3" s="2">
        <f>IFERROR(_xlfn.XLOOKUP(H3, conversao_direcao!$A:$A, conversao_direcao!$B:$B), "")</f>
        <v>90</v>
      </c>
      <c r="T3" s="2">
        <f>IFERROR(_xlfn.XLOOKUP(I3, conversao_direcao!$A:$A, conversao_direcao!$B:$B), "")</f>
        <v>90</v>
      </c>
    </row>
    <row r="4" spans="1:20" x14ac:dyDescent="0.3">
      <c r="A4">
        <f t="shared" ref="A4:A22" si="0">A3+1</f>
        <v>2000</v>
      </c>
      <c r="B4" s="2" t="s">
        <v>7</v>
      </c>
      <c r="C4" s="2" t="s">
        <v>8</v>
      </c>
      <c r="D4" s="2" t="s">
        <v>10</v>
      </c>
      <c r="E4" s="2" t="s">
        <v>8</v>
      </c>
      <c r="F4" s="2" t="s">
        <v>8</v>
      </c>
      <c r="G4" s="2" t="s">
        <v>8</v>
      </c>
      <c r="H4" s="2" t="s">
        <v>11</v>
      </c>
      <c r="I4" s="1" t="s">
        <v>8</v>
      </c>
      <c r="L4">
        <f t="shared" ref="L4:L22" si="1">L3+1</f>
        <v>2000</v>
      </c>
      <c r="M4" s="2">
        <f>IFERROR(_xlfn.XLOOKUP(B4, conversao_direcao!$A:$A, conversao_direcao!$B:$B), "")</f>
        <v>180</v>
      </c>
      <c r="N4" s="2">
        <f>IFERROR(_xlfn.XLOOKUP(C4, conversao_direcao!$A:$A, conversao_direcao!$B:$B), "")</f>
        <v>90</v>
      </c>
      <c r="O4" s="2">
        <f>IFERROR(_xlfn.XLOOKUP(D4, conversao_direcao!$A:$A, conversao_direcao!$B:$B), "")</f>
        <v>270</v>
      </c>
      <c r="P4" s="2">
        <f>IFERROR(_xlfn.XLOOKUP(E4, conversao_direcao!$A:$A, conversao_direcao!$B:$B), "")</f>
        <v>90</v>
      </c>
      <c r="Q4" s="2">
        <f>IFERROR(_xlfn.XLOOKUP(F4, conversao_direcao!$A:$A, conversao_direcao!$B:$B), "")</f>
        <v>90</v>
      </c>
      <c r="R4" s="2">
        <f>IFERROR(_xlfn.XLOOKUP(G4, conversao_direcao!$A:$A, conversao_direcao!$B:$B), "")</f>
        <v>90</v>
      </c>
      <c r="S4" s="2">
        <f>IFERROR(_xlfn.XLOOKUP(H4, conversao_direcao!$A:$A, conversao_direcao!$B:$B), "")</f>
        <v>45</v>
      </c>
      <c r="T4" s="2">
        <f>IFERROR(_xlfn.XLOOKUP(I4, conversao_direcao!$A:$A, conversao_direcao!$B:$B), "")</f>
        <v>90</v>
      </c>
    </row>
    <row r="5" spans="1:20" x14ac:dyDescent="0.3">
      <c r="A5">
        <f t="shared" si="0"/>
        <v>2001</v>
      </c>
      <c r="B5" s="2" t="s">
        <v>8</v>
      </c>
      <c r="C5" s="2" t="s">
        <v>12</v>
      </c>
      <c r="D5" s="2" t="s">
        <v>10</v>
      </c>
      <c r="E5" s="2" t="s">
        <v>8</v>
      </c>
      <c r="F5" s="2" t="s">
        <v>8</v>
      </c>
      <c r="G5" s="2" t="s">
        <v>8</v>
      </c>
      <c r="H5" s="2" t="s">
        <v>8</v>
      </c>
      <c r="I5" s="1" t="s">
        <v>8</v>
      </c>
      <c r="L5">
        <f t="shared" si="1"/>
        <v>2001</v>
      </c>
      <c r="M5" s="2">
        <f>IFERROR(_xlfn.XLOOKUP(B5, conversao_direcao!$A:$A, conversao_direcao!$B:$B), "")</f>
        <v>90</v>
      </c>
      <c r="N5" s="2">
        <f>IFERROR(_xlfn.XLOOKUP(C5, conversao_direcao!$A:$A, conversao_direcao!$B:$B), "")</f>
        <v>0</v>
      </c>
      <c r="O5" s="2">
        <f>IFERROR(_xlfn.XLOOKUP(D5, conversao_direcao!$A:$A, conversao_direcao!$B:$B), "")</f>
        <v>270</v>
      </c>
      <c r="P5" s="2">
        <f>IFERROR(_xlfn.XLOOKUP(E5, conversao_direcao!$A:$A, conversao_direcao!$B:$B), "")</f>
        <v>90</v>
      </c>
      <c r="Q5" s="2">
        <f>IFERROR(_xlfn.XLOOKUP(F5, conversao_direcao!$A:$A, conversao_direcao!$B:$B), "")</f>
        <v>90</v>
      </c>
      <c r="R5" s="2">
        <f>IFERROR(_xlfn.XLOOKUP(G5, conversao_direcao!$A:$A, conversao_direcao!$B:$B), "")</f>
        <v>90</v>
      </c>
      <c r="S5" s="2">
        <f>IFERROR(_xlfn.XLOOKUP(H5, conversao_direcao!$A:$A, conversao_direcao!$B:$B), "")</f>
        <v>90</v>
      </c>
      <c r="T5" s="2">
        <f>IFERROR(_xlfn.XLOOKUP(I5, conversao_direcao!$A:$A, conversao_direcao!$B:$B), "")</f>
        <v>90</v>
      </c>
    </row>
    <row r="6" spans="1:20" x14ac:dyDescent="0.3">
      <c r="A6">
        <f t="shared" si="0"/>
        <v>2002</v>
      </c>
      <c r="B6" s="2" t="s">
        <v>8</v>
      </c>
      <c r="C6" s="2" t="s">
        <v>9</v>
      </c>
      <c r="D6" s="2" t="s">
        <v>8</v>
      </c>
      <c r="E6" s="2" t="s">
        <v>8</v>
      </c>
      <c r="F6" s="2" t="s">
        <v>8</v>
      </c>
      <c r="G6" s="2" t="s">
        <v>8</v>
      </c>
      <c r="H6" s="2"/>
      <c r="I6" s="1" t="s">
        <v>8</v>
      </c>
      <c r="L6">
        <f t="shared" si="1"/>
        <v>2002</v>
      </c>
      <c r="M6" s="2">
        <f>IFERROR(_xlfn.XLOOKUP(B6, conversao_direcao!$A:$A, conversao_direcao!$B:$B), "")</f>
        <v>90</v>
      </c>
      <c r="N6" s="2">
        <f>IFERROR(_xlfn.XLOOKUP(C6, conversao_direcao!$A:$A, conversao_direcao!$B:$B), "")</f>
        <v>135</v>
      </c>
      <c r="O6" s="2">
        <f>IFERROR(_xlfn.XLOOKUP(D6, conversao_direcao!$A:$A, conversao_direcao!$B:$B), "")</f>
        <v>90</v>
      </c>
      <c r="P6" s="2">
        <f>IFERROR(_xlfn.XLOOKUP(E6, conversao_direcao!$A:$A, conversao_direcao!$B:$B), "")</f>
        <v>90</v>
      </c>
      <c r="Q6" s="2">
        <f>IFERROR(_xlfn.XLOOKUP(F6, conversao_direcao!$A:$A, conversao_direcao!$B:$B), "")</f>
        <v>90</v>
      </c>
      <c r="R6" s="2">
        <f>IFERROR(_xlfn.XLOOKUP(G6, conversao_direcao!$A:$A, conversao_direcao!$B:$B), "")</f>
        <v>90</v>
      </c>
      <c r="S6" s="2">
        <f>IFERROR(_xlfn.XLOOKUP(H6, conversao_direcao!$A:$A, conversao_direcao!$B:$B), "")</f>
        <v>0</v>
      </c>
      <c r="T6" s="2">
        <f>IFERROR(_xlfn.XLOOKUP(I6, conversao_direcao!$A:$A, conversao_direcao!$B:$B), "")</f>
        <v>90</v>
      </c>
    </row>
    <row r="7" spans="1:20" x14ac:dyDescent="0.3">
      <c r="A7">
        <f t="shared" si="0"/>
        <v>2003</v>
      </c>
      <c r="B7" s="2" t="s">
        <v>9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8</v>
      </c>
      <c r="H7" s="2" t="s">
        <v>8</v>
      </c>
      <c r="I7" s="1" t="s">
        <v>7</v>
      </c>
      <c r="L7">
        <f t="shared" si="1"/>
        <v>2003</v>
      </c>
      <c r="M7" s="2">
        <f>IFERROR(_xlfn.XLOOKUP(B7, conversao_direcao!$A:$A, conversao_direcao!$B:$B), "")</f>
        <v>135</v>
      </c>
      <c r="N7" s="2">
        <f>IFERROR(_xlfn.XLOOKUP(C7, conversao_direcao!$A:$A, conversao_direcao!$B:$B), "")</f>
        <v>45</v>
      </c>
      <c r="O7" s="2">
        <f>IFERROR(_xlfn.XLOOKUP(D7, conversao_direcao!$A:$A, conversao_direcao!$B:$B), "")</f>
        <v>45</v>
      </c>
      <c r="P7" s="2">
        <f>IFERROR(_xlfn.XLOOKUP(E7, conversao_direcao!$A:$A, conversao_direcao!$B:$B), "")</f>
        <v>45</v>
      </c>
      <c r="Q7" s="2">
        <f>IFERROR(_xlfn.XLOOKUP(F7, conversao_direcao!$A:$A, conversao_direcao!$B:$B), "")</f>
        <v>45</v>
      </c>
      <c r="R7" s="2">
        <f>IFERROR(_xlfn.XLOOKUP(G7, conversao_direcao!$A:$A, conversao_direcao!$B:$B), "")</f>
        <v>90</v>
      </c>
      <c r="S7" s="2">
        <f>IFERROR(_xlfn.XLOOKUP(H7, conversao_direcao!$A:$A, conversao_direcao!$B:$B), "")</f>
        <v>90</v>
      </c>
      <c r="T7" s="2">
        <f>IFERROR(_xlfn.XLOOKUP(I7, conversao_direcao!$A:$A, conversao_direcao!$B:$B), "")</f>
        <v>180</v>
      </c>
    </row>
    <row r="8" spans="1:20" x14ac:dyDescent="0.3">
      <c r="A8">
        <f t="shared" si="0"/>
        <v>2004</v>
      </c>
      <c r="B8" s="2" t="s">
        <v>8</v>
      </c>
      <c r="C8" s="2" t="s">
        <v>11</v>
      </c>
      <c r="D8" s="2" t="s">
        <v>8</v>
      </c>
      <c r="E8" s="2" t="s">
        <v>9</v>
      </c>
      <c r="F8" s="2" t="s">
        <v>11</v>
      </c>
      <c r="G8" s="2" t="s">
        <v>8</v>
      </c>
      <c r="H8" s="2" t="s">
        <v>8</v>
      </c>
      <c r="I8" s="1" t="s">
        <v>8</v>
      </c>
      <c r="L8">
        <f t="shared" si="1"/>
        <v>2004</v>
      </c>
      <c r="M8" s="2">
        <f>IFERROR(_xlfn.XLOOKUP(B8, conversao_direcao!$A:$A, conversao_direcao!$B:$B), "")</f>
        <v>90</v>
      </c>
      <c r="N8" s="2">
        <f>IFERROR(_xlfn.XLOOKUP(C8, conversao_direcao!$A:$A, conversao_direcao!$B:$B), "")</f>
        <v>45</v>
      </c>
      <c r="O8" s="2">
        <f>IFERROR(_xlfn.XLOOKUP(D8, conversao_direcao!$A:$A, conversao_direcao!$B:$B), "")</f>
        <v>90</v>
      </c>
      <c r="P8" s="2">
        <f>IFERROR(_xlfn.XLOOKUP(E8, conversao_direcao!$A:$A, conversao_direcao!$B:$B), "")</f>
        <v>135</v>
      </c>
      <c r="Q8" s="2">
        <f>IFERROR(_xlfn.XLOOKUP(F8, conversao_direcao!$A:$A, conversao_direcao!$B:$B), "")</f>
        <v>45</v>
      </c>
      <c r="R8" s="2">
        <f>IFERROR(_xlfn.XLOOKUP(G8, conversao_direcao!$A:$A, conversao_direcao!$B:$B), "")</f>
        <v>90</v>
      </c>
      <c r="S8" s="2">
        <f>IFERROR(_xlfn.XLOOKUP(H8, conversao_direcao!$A:$A, conversao_direcao!$B:$B), "")</f>
        <v>90</v>
      </c>
      <c r="T8" s="2">
        <f>IFERROR(_xlfn.XLOOKUP(I8, conversao_direcao!$A:$A, conversao_direcao!$B:$B), "")</f>
        <v>90</v>
      </c>
    </row>
    <row r="9" spans="1:20" x14ac:dyDescent="0.3">
      <c r="A9">
        <f t="shared" si="0"/>
        <v>2005</v>
      </c>
      <c r="B9" s="2"/>
      <c r="C9" s="2" t="s">
        <v>12</v>
      </c>
      <c r="D9" s="2" t="s">
        <v>13</v>
      </c>
      <c r="E9" s="2"/>
      <c r="F9" s="2" t="s">
        <v>11</v>
      </c>
      <c r="G9" s="2" t="s">
        <v>11</v>
      </c>
      <c r="H9" s="2"/>
      <c r="I9" s="1" t="s">
        <v>11</v>
      </c>
      <c r="L9">
        <f t="shared" si="1"/>
        <v>2005</v>
      </c>
      <c r="M9" s="2">
        <f>IFERROR(_xlfn.XLOOKUP(B9, conversao_direcao!$A:$A, conversao_direcao!$B:$B), "")</f>
        <v>0</v>
      </c>
      <c r="N9" s="2">
        <f>IFERROR(_xlfn.XLOOKUP(C9, conversao_direcao!$A:$A, conversao_direcao!$B:$B), "")</f>
        <v>0</v>
      </c>
      <c r="O9" s="2">
        <f>IFERROR(_xlfn.XLOOKUP(D9, conversao_direcao!$A:$A, conversao_direcao!$B:$B), "")</f>
        <v>225</v>
      </c>
      <c r="P9" s="2">
        <f>IFERROR(_xlfn.XLOOKUP(E9, conversao_direcao!$A:$A, conversao_direcao!$B:$B), "")</f>
        <v>0</v>
      </c>
      <c r="Q9" s="2">
        <f>IFERROR(_xlfn.XLOOKUP(F9, conversao_direcao!$A:$A, conversao_direcao!$B:$B), "")</f>
        <v>45</v>
      </c>
      <c r="R9" s="2">
        <f>IFERROR(_xlfn.XLOOKUP(G9, conversao_direcao!$A:$A, conversao_direcao!$B:$B), "")</f>
        <v>45</v>
      </c>
      <c r="S9" s="2">
        <f>IFERROR(_xlfn.XLOOKUP(H9, conversao_direcao!$A:$A, conversao_direcao!$B:$B), "")</f>
        <v>0</v>
      </c>
      <c r="T9" s="2">
        <f>IFERROR(_xlfn.XLOOKUP(I9, conversao_direcao!$A:$A, conversao_direcao!$B:$B), "")</f>
        <v>45</v>
      </c>
    </row>
    <row r="10" spans="1:20" x14ac:dyDescent="0.3">
      <c r="A10">
        <f t="shared" si="0"/>
        <v>2006</v>
      </c>
      <c r="B10" s="2"/>
      <c r="C10" s="2" t="s">
        <v>12</v>
      </c>
      <c r="D10" s="2" t="s">
        <v>11</v>
      </c>
      <c r="E10" s="2" t="s">
        <v>8</v>
      </c>
      <c r="F10" s="2" t="s">
        <v>9</v>
      </c>
      <c r="G10" s="2" t="s">
        <v>8</v>
      </c>
      <c r="H10" s="2" t="s">
        <v>11</v>
      </c>
      <c r="I10" s="1" t="s">
        <v>8</v>
      </c>
      <c r="L10">
        <f t="shared" si="1"/>
        <v>2006</v>
      </c>
      <c r="M10" s="2">
        <f>IFERROR(_xlfn.XLOOKUP(B10, conversao_direcao!$A:$A, conversao_direcao!$B:$B), "")</f>
        <v>0</v>
      </c>
      <c r="N10" s="2">
        <f>IFERROR(_xlfn.XLOOKUP(C10, conversao_direcao!$A:$A, conversao_direcao!$B:$B), "")</f>
        <v>0</v>
      </c>
      <c r="O10" s="2">
        <f>IFERROR(_xlfn.XLOOKUP(D10, conversao_direcao!$A:$A, conversao_direcao!$B:$B), "")</f>
        <v>45</v>
      </c>
      <c r="P10" s="2">
        <f>IFERROR(_xlfn.XLOOKUP(E10, conversao_direcao!$A:$A, conversao_direcao!$B:$B), "")</f>
        <v>90</v>
      </c>
      <c r="Q10" s="2">
        <f>IFERROR(_xlfn.XLOOKUP(F10, conversao_direcao!$A:$A, conversao_direcao!$B:$B), "")</f>
        <v>135</v>
      </c>
      <c r="R10" s="2">
        <f>IFERROR(_xlfn.XLOOKUP(G10, conversao_direcao!$A:$A, conversao_direcao!$B:$B), "")</f>
        <v>90</v>
      </c>
      <c r="S10" s="2">
        <f>IFERROR(_xlfn.XLOOKUP(H10, conversao_direcao!$A:$A, conversao_direcao!$B:$B), "")</f>
        <v>45</v>
      </c>
      <c r="T10" s="2">
        <f>IFERROR(_xlfn.XLOOKUP(I10, conversao_direcao!$A:$A, conversao_direcao!$B:$B), "")</f>
        <v>90</v>
      </c>
    </row>
    <row r="11" spans="1:20" x14ac:dyDescent="0.3">
      <c r="A11">
        <f t="shared" si="0"/>
        <v>2007</v>
      </c>
      <c r="B11" s="2" t="s">
        <v>12</v>
      </c>
      <c r="C11" s="2"/>
      <c r="D11" s="2" t="s">
        <v>9</v>
      </c>
      <c r="E11" s="2" t="s">
        <v>8</v>
      </c>
      <c r="F11" s="2" t="s">
        <v>11</v>
      </c>
      <c r="G11" s="2" t="s">
        <v>11</v>
      </c>
      <c r="H11" s="2" t="s">
        <v>11</v>
      </c>
      <c r="I11" s="1" t="s">
        <v>11</v>
      </c>
      <c r="L11">
        <f t="shared" si="1"/>
        <v>2007</v>
      </c>
      <c r="M11" s="2">
        <f>IFERROR(_xlfn.XLOOKUP(B11, conversao_direcao!$A:$A, conversao_direcao!$B:$B), "")</f>
        <v>0</v>
      </c>
      <c r="N11" s="2">
        <f>IFERROR(_xlfn.XLOOKUP(C11, conversao_direcao!$A:$A, conversao_direcao!$B:$B), "")</f>
        <v>0</v>
      </c>
      <c r="O11" s="2">
        <f>IFERROR(_xlfn.XLOOKUP(D11, conversao_direcao!$A:$A, conversao_direcao!$B:$B), "")</f>
        <v>135</v>
      </c>
      <c r="P11" s="2">
        <f>IFERROR(_xlfn.XLOOKUP(E11, conversao_direcao!$A:$A, conversao_direcao!$B:$B), "")</f>
        <v>90</v>
      </c>
      <c r="Q11" s="2">
        <f>IFERROR(_xlfn.XLOOKUP(F11, conversao_direcao!$A:$A, conversao_direcao!$B:$B), "")</f>
        <v>45</v>
      </c>
      <c r="R11" s="2">
        <f>IFERROR(_xlfn.XLOOKUP(G11, conversao_direcao!$A:$A, conversao_direcao!$B:$B), "")</f>
        <v>45</v>
      </c>
      <c r="S11" s="2">
        <f>IFERROR(_xlfn.XLOOKUP(H11, conversao_direcao!$A:$A, conversao_direcao!$B:$B), "")</f>
        <v>45</v>
      </c>
      <c r="T11" s="2">
        <f>IFERROR(_xlfn.XLOOKUP(I11, conversao_direcao!$A:$A, conversao_direcao!$B:$B), "")</f>
        <v>45</v>
      </c>
    </row>
    <row r="12" spans="1:20" x14ac:dyDescent="0.3">
      <c r="A12">
        <f t="shared" si="0"/>
        <v>2008</v>
      </c>
      <c r="B12" s="2" t="s">
        <v>9</v>
      </c>
      <c r="C12" s="2" t="s">
        <v>8</v>
      </c>
      <c r="D12" s="2" t="s">
        <v>9</v>
      </c>
      <c r="E12" s="2" t="s">
        <v>8</v>
      </c>
      <c r="F12" s="2" t="s">
        <v>8</v>
      </c>
      <c r="G12" s="2" t="s">
        <v>11</v>
      </c>
      <c r="H12" s="2" t="s">
        <v>8</v>
      </c>
      <c r="I12" s="1" t="s">
        <v>8</v>
      </c>
      <c r="L12">
        <f t="shared" si="1"/>
        <v>2008</v>
      </c>
      <c r="M12" s="2">
        <f>IFERROR(_xlfn.XLOOKUP(B12, conversao_direcao!$A:$A, conversao_direcao!$B:$B), "")</f>
        <v>135</v>
      </c>
      <c r="N12" s="2">
        <f>IFERROR(_xlfn.XLOOKUP(C12, conversao_direcao!$A:$A, conversao_direcao!$B:$B), "")</f>
        <v>90</v>
      </c>
      <c r="O12" s="2">
        <f>IFERROR(_xlfn.XLOOKUP(D12, conversao_direcao!$A:$A, conversao_direcao!$B:$B), "")</f>
        <v>135</v>
      </c>
      <c r="P12" s="2">
        <f>IFERROR(_xlfn.XLOOKUP(E12, conversao_direcao!$A:$A, conversao_direcao!$B:$B), "")</f>
        <v>90</v>
      </c>
      <c r="Q12" s="2">
        <f>IFERROR(_xlfn.XLOOKUP(F12, conversao_direcao!$A:$A, conversao_direcao!$B:$B), "")</f>
        <v>90</v>
      </c>
      <c r="R12" s="2">
        <f>IFERROR(_xlfn.XLOOKUP(G12, conversao_direcao!$A:$A, conversao_direcao!$B:$B), "")</f>
        <v>45</v>
      </c>
      <c r="S12" s="2">
        <f>IFERROR(_xlfn.XLOOKUP(H12, conversao_direcao!$A:$A, conversao_direcao!$B:$B), "")</f>
        <v>90</v>
      </c>
      <c r="T12" s="2">
        <f>IFERROR(_xlfn.XLOOKUP(I12, conversao_direcao!$A:$A, conversao_direcao!$B:$B), "")</f>
        <v>90</v>
      </c>
    </row>
    <row r="13" spans="1:20" x14ac:dyDescent="0.3">
      <c r="A13">
        <f t="shared" si="0"/>
        <v>2009</v>
      </c>
      <c r="B13" s="2" t="s">
        <v>8</v>
      </c>
      <c r="C13" s="2"/>
      <c r="D13" s="2" t="s">
        <v>8</v>
      </c>
      <c r="E13" s="2" t="s">
        <v>8</v>
      </c>
      <c r="F13" s="2" t="s">
        <v>11</v>
      </c>
      <c r="G13" s="2" t="s">
        <v>11</v>
      </c>
      <c r="H13" s="2"/>
      <c r="I13" s="1" t="s">
        <v>8</v>
      </c>
      <c r="L13">
        <f t="shared" si="1"/>
        <v>2009</v>
      </c>
      <c r="M13" s="2">
        <f>IFERROR(_xlfn.XLOOKUP(B13, conversao_direcao!$A:$A, conversao_direcao!$B:$B), "")</f>
        <v>90</v>
      </c>
      <c r="N13" s="2">
        <f>IFERROR(_xlfn.XLOOKUP(C13, conversao_direcao!$A:$A, conversao_direcao!$B:$B), "")</f>
        <v>0</v>
      </c>
      <c r="O13" s="2">
        <f>IFERROR(_xlfn.XLOOKUP(D13, conversao_direcao!$A:$A, conversao_direcao!$B:$B), "")</f>
        <v>90</v>
      </c>
      <c r="P13" s="2">
        <f>IFERROR(_xlfn.XLOOKUP(E13, conversao_direcao!$A:$A, conversao_direcao!$B:$B), "")</f>
        <v>90</v>
      </c>
      <c r="Q13" s="2">
        <f>IFERROR(_xlfn.XLOOKUP(F13, conversao_direcao!$A:$A, conversao_direcao!$B:$B), "")</f>
        <v>45</v>
      </c>
      <c r="R13" s="2">
        <f>IFERROR(_xlfn.XLOOKUP(G13, conversao_direcao!$A:$A, conversao_direcao!$B:$B), "")</f>
        <v>45</v>
      </c>
      <c r="S13" s="2">
        <f>IFERROR(_xlfn.XLOOKUP(H13, conversao_direcao!$A:$A, conversao_direcao!$B:$B), "")</f>
        <v>0</v>
      </c>
      <c r="T13" s="2">
        <f>IFERROR(_xlfn.XLOOKUP(I13, conversao_direcao!$A:$A, conversao_direcao!$B:$B), "")</f>
        <v>90</v>
      </c>
    </row>
    <row r="14" spans="1:20" x14ac:dyDescent="0.3">
      <c r="A14">
        <f t="shared" si="0"/>
        <v>2010</v>
      </c>
      <c r="B14" s="2" t="s">
        <v>8</v>
      </c>
      <c r="C14" s="2" t="s">
        <v>11</v>
      </c>
      <c r="D14" s="2" t="s">
        <v>11</v>
      </c>
      <c r="E14" s="2" t="s">
        <v>8</v>
      </c>
      <c r="F14" s="2" t="s">
        <v>8</v>
      </c>
      <c r="G14" s="2" t="s">
        <v>11</v>
      </c>
      <c r="H14" s="2" t="s">
        <v>11</v>
      </c>
      <c r="I14" s="1" t="s">
        <v>8</v>
      </c>
      <c r="L14">
        <f t="shared" si="1"/>
        <v>2010</v>
      </c>
      <c r="M14" s="2">
        <f>IFERROR(_xlfn.XLOOKUP(B14, conversao_direcao!$A:$A, conversao_direcao!$B:$B), "")</f>
        <v>90</v>
      </c>
      <c r="N14" s="2">
        <f>IFERROR(_xlfn.XLOOKUP(C14, conversao_direcao!$A:$A, conversao_direcao!$B:$B), "")</f>
        <v>45</v>
      </c>
      <c r="O14" s="2">
        <f>IFERROR(_xlfn.XLOOKUP(D14, conversao_direcao!$A:$A, conversao_direcao!$B:$B), "")</f>
        <v>45</v>
      </c>
      <c r="P14" s="2">
        <f>IFERROR(_xlfn.XLOOKUP(E14, conversao_direcao!$A:$A, conversao_direcao!$B:$B), "")</f>
        <v>90</v>
      </c>
      <c r="Q14" s="2">
        <f>IFERROR(_xlfn.XLOOKUP(F14, conversao_direcao!$A:$A, conversao_direcao!$B:$B), "")</f>
        <v>90</v>
      </c>
      <c r="R14" s="2">
        <f>IFERROR(_xlfn.XLOOKUP(G14, conversao_direcao!$A:$A, conversao_direcao!$B:$B), "")</f>
        <v>45</v>
      </c>
      <c r="S14" s="2">
        <f>IFERROR(_xlfn.XLOOKUP(H14, conversao_direcao!$A:$A, conversao_direcao!$B:$B), "")</f>
        <v>45</v>
      </c>
      <c r="T14" s="2">
        <f>IFERROR(_xlfn.XLOOKUP(I14, conversao_direcao!$A:$A, conversao_direcao!$B:$B), "")</f>
        <v>90</v>
      </c>
    </row>
    <row r="15" spans="1:20" x14ac:dyDescent="0.3">
      <c r="A15">
        <f t="shared" si="0"/>
        <v>2011</v>
      </c>
      <c r="B15" s="2" t="s">
        <v>8</v>
      </c>
      <c r="C15" s="2" t="s">
        <v>11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1" t="s">
        <v>8</v>
      </c>
      <c r="L15">
        <f t="shared" si="1"/>
        <v>2011</v>
      </c>
      <c r="M15" s="2">
        <f>IFERROR(_xlfn.XLOOKUP(B15, conversao_direcao!$A:$A, conversao_direcao!$B:$B), "")</f>
        <v>90</v>
      </c>
      <c r="N15" s="2">
        <f>IFERROR(_xlfn.XLOOKUP(C15, conversao_direcao!$A:$A, conversao_direcao!$B:$B), "")</f>
        <v>45</v>
      </c>
      <c r="O15" s="2">
        <f>IFERROR(_xlfn.XLOOKUP(D15, conversao_direcao!$A:$A, conversao_direcao!$B:$B), "")</f>
        <v>90</v>
      </c>
      <c r="P15" s="2">
        <f>IFERROR(_xlfn.XLOOKUP(E15, conversao_direcao!$A:$A, conversao_direcao!$B:$B), "")</f>
        <v>90</v>
      </c>
      <c r="Q15" s="2">
        <f>IFERROR(_xlfn.XLOOKUP(F15, conversao_direcao!$A:$A, conversao_direcao!$B:$B), "")</f>
        <v>90</v>
      </c>
      <c r="R15" s="2">
        <f>IFERROR(_xlfn.XLOOKUP(G15, conversao_direcao!$A:$A, conversao_direcao!$B:$B), "")</f>
        <v>90</v>
      </c>
      <c r="S15" s="2">
        <f>IFERROR(_xlfn.XLOOKUP(H15, conversao_direcao!$A:$A, conversao_direcao!$B:$B), "")</f>
        <v>90</v>
      </c>
      <c r="T15" s="2">
        <f>IFERROR(_xlfn.XLOOKUP(I15, conversao_direcao!$A:$A, conversao_direcao!$B:$B), "")</f>
        <v>90</v>
      </c>
    </row>
    <row r="16" spans="1:20" x14ac:dyDescent="0.3">
      <c r="A16">
        <f t="shared" si="0"/>
        <v>2012</v>
      </c>
      <c r="B16" s="2" t="s">
        <v>12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12</v>
      </c>
      <c r="H16" s="2" t="s">
        <v>8</v>
      </c>
      <c r="I16" s="1" t="s">
        <v>8</v>
      </c>
      <c r="L16">
        <f t="shared" si="1"/>
        <v>2012</v>
      </c>
      <c r="M16" s="2">
        <f>IFERROR(_xlfn.XLOOKUP(B16, conversao_direcao!$A:$A, conversao_direcao!$B:$B), "")</f>
        <v>0</v>
      </c>
      <c r="N16" s="2">
        <f>IFERROR(_xlfn.XLOOKUP(C16, conversao_direcao!$A:$A, conversao_direcao!$B:$B), "")</f>
        <v>90</v>
      </c>
      <c r="O16" s="2">
        <f>IFERROR(_xlfn.XLOOKUP(D16, conversao_direcao!$A:$A, conversao_direcao!$B:$B), "")</f>
        <v>90</v>
      </c>
      <c r="P16" s="2">
        <f>IFERROR(_xlfn.XLOOKUP(E16, conversao_direcao!$A:$A, conversao_direcao!$B:$B), "")</f>
        <v>90</v>
      </c>
      <c r="Q16" s="2">
        <f>IFERROR(_xlfn.XLOOKUP(F16, conversao_direcao!$A:$A, conversao_direcao!$B:$B), "")</f>
        <v>90</v>
      </c>
      <c r="R16" s="2">
        <f>IFERROR(_xlfn.XLOOKUP(G16, conversao_direcao!$A:$A, conversao_direcao!$B:$B), "")</f>
        <v>0</v>
      </c>
      <c r="S16" s="2">
        <f>IFERROR(_xlfn.XLOOKUP(H16, conversao_direcao!$A:$A, conversao_direcao!$B:$B), "")</f>
        <v>90</v>
      </c>
      <c r="T16" s="2">
        <f>IFERROR(_xlfn.XLOOKUP(I16, conversao_direcao!$A:$A, conversao_direcao!$B:$B), "")</f>
        <v>90</v>
      </c>
    </row>
    <row r="17" spans="1:20" x14ac:dyDescent="0.3">
      <c r="A17">
        <f t="shared" si="0"/>
        <v>2013</v>
      </c>
      <c r="B17" s="2" t="s">
        <v>10</v>
      </c>
      <c r="C17" s="2" t="s">
        <v>8</v>
      </c>
      <c r="D17" s="2" t="s">
        <v>8</v>
      </c>
      <c r="E17" s="2" t="s">
        <v>8</v>
      </c>
      <c r="F17" s="2" t="s">
        <v>7</v>
      </c>
      <c r="G17" s="2" t="s">
        <v>8</v>
      </c>
      <c r="H17" s="2" t="s">
        <v>8</v>
      </c>
      <c r="I17" s="1" t="s">
        <v>8</v>
      </c>
      <c r="L17">
        <f t="shared" si="1"/>
        <v>2013</v>
      </c>
      <c r="M17" s="2">
        <f>IFERROR(_xlfn.XLOOKUP(B17, conversao_direcao!$A:$A, conversao_direcao!$B:$B), "")</f>
        <v>270</v>
      </c>
      <c r="N17" s="2">
        <f>IFERROR(_xlfn.XLOOKUP(C17, conversao_direcao!$A:$A, conversao_direcao!$B:$B), "")</f>
        <v>90</v>
      </c>
      <c r="O17" s="2">
        <f>IFERROR(_xlfn.XLOOKUP(D17, conversao_direcao!$A:$A, conversao_direcao!$B:$B), "")</f>
        <v>90</v>
      </c>
      <c r="P17" s="2">
        <f>IFERROR(_xlfn.XLOOKUP(E17, conversao_direcao!$A:$A, conversao_direcao!$B:$B), "")</f>
        <v>90</v>
      </c>
      <c r="Q17" s="2">
        <f>IFERROR(_xlfn.XLOOKUP(F17, conversao_direcao!$A:$A, conversao_direcao!$B:$B), "")</f>
        <v>180</v>
      </c>
      <c r="R17" s="2">
        <f>IFERROR(_xlfn.XLOOKUP(G17, conversao_direcao!$A:$A, conversao_direcao!$B:$B), "")</f>
        <v>90</v>
      </c>
      <c r="S17" s="2">
        <f>IFERROR(_xlfn.XLOOKUP(H17, conversao_direcao!$A:$A, conversao_direcao!$B:$B), "")</f>
        <v>90</v>
      </c>
      <c r="T17" s="2">
        <f>IFERROR(_xlfn.XLOOKUP(I17, conversao_direcao!$A:$A, conversao_direcao!$B:$B), "")</f>
        <v>90</v>
      </c>
    </row>
    <row r="18" spans="1:20" x14ac:dyDescent="0.3">
      <c r="A18">
        <f t="shared" si="0"/>
        <v>2014</v>
      </c>
      <c r="B18" s="2" t="s">
        <v>9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  <c r="H18" s="2" t="s">
        <v>8</v>
      </c>
      <c r="I18" s="1"/>
      <c r="L18">
        <f t="shared" si="1"/>
        <v>2014</v>
      </c>
      <c r="M18" s="2">
        <f>IFERROR(_xlfn.XLOOKUP(B18, conversao_direcao!$A:$A, conversao_direcao!$B:$B), "")</f>
        <v>135</v>
      </c>
      <c r="N18" s="2">
        <f>IFERROR(_xlfn.XLOOKUP(C18, conversao_direcao!$A:$A, conversao_direcao!$B:$B), "")</f>
        <v>90</v>
      </c>
      <c r="O18" s="2">
        <f>IFERROR(_xlfn.XLOOKUP(D18, conversao_direcao!$A:$A, conversao_direcao!$B:$B), "")</f>
        <v>90</v>
      </c>
      <c r="P18" s="2">
        <f>IFERROR(_xlfn.XLOOKUP(E18, conversao_direcao!$A:$A, conversao_direcao!$B:$B), "")</f>
        <v>90</v>
      </c>
      <c r="Q18" s="2">
        <f>IFERROR(_xlfn.XLOOKUP(F18, conversao_direcao!$A:$A, conversao_direcao!$B:$B), "")</f>
        <v>90</v>
      </c>
      <c r="R18" s="2">
        <f>IFERROR(_xlfn.XLOOKUP(G18, conversao_direcao!$A:$A, conversao_direcao!$B:$B), "")</f>
        <v>90</v>
      </c>
      <c r="S18" s="2">
        <f>IFERROR(_xlfn.XLOOKUP(H18, conversao_direcao!$A:$A, conversao_direcao!$B:$B), "")</f>
        <v>90</v>
      </c>
      <c r="T18" s="2">
        <f>IFERROR(_xlfn.XLOOKUP(I18, conversao_direcao!$A:$A, conversao_direcao!$B:$B), "")</f>
        <v>0</v>
      </c>
    </row>
    <row r="19" spans="1:20" x14ac:dyDescent="0.3">
      <c r="A19">
        <f t="shared" si="0"/>
        <v>2015</v>
      </c>
      <c r="B19" s="2" t="s">
        <v>9</v>
      </c>
      <c r="C19" s="2" t="s">
        <v>8</v>
      </c>
      <c r="D19" s="2" t="s">
        <v>12</v>
      </c>
      <c r="E19" s="2" t="s">
        <v>8</v>
      </c>
      <c r="F19" s="2" t="s">
        <v>8</v>
      </c>
      <c r="G19" s="2" t="s">
        <v>8</v>
      </c>
      <c r="H19" s="2" t="s">
        <v>8</v>
      </c>
      <c r="I19" s="1" t="s">
        <v>8</v>
      </c>
      <c r="L19">
        <f t="shared" si="1"/>
        <v>2015</v>
      </c>
      <c r="M19" s="2">
        <f>IFERROR(_xlfn.XLOOKUP(B19, conversao_direcao!$A:$A, conversao_direcao!$B:$B), "")</f>
        <v>135</v>
      </c>
      <c r="N19" s="2">
        <f>IFERROR(_xlfn.XLOOKUP(C19, conversao_direcao!$A:$A, conversao_direcao!$B:$B), "")</f>
        <v>90</v>
      </c>
      <c r="O19" s="2">
        <f>IFERROR(_xlfn.XLOOKUP(D19, conversao_direcao!$A:$A, conversao_direcao!$B:$B), "")</f>
        <v>0</v>
      </c>
      <c r="P19" s="2">
        <f>IFERROR(_xlfn.XLOOKUP(E19, conversao_direcao!$A:$A, conversao_direcao!$B:$B), "")</f>
        <v>90</v>
      </c>
      <c r="Q19" s="2">
        <f>IFERROR(_xlfn.XLOOKUP(F19, conversao_direcao!$A:$A, conversao_direcao!$B:$B), "")</f>
        <v>90</v>
      </c>
      <c r="R19" s="2">
        <f>IFERROR(_xlfn.XLOOKUP(G19, conversao_direcao!$A:$A, conversao_direcao!$B:$B), "")</f>
        <v>90</v>
      </c>
      <c r="S19" s="2">
        <f>IFERROR(_xlfn.XLOOKUP(H19, conversao_direcao!$A:$A, conversao_direcao!$B:$B), "")</f>
        <v>90</v>
      </c>
      <c r="T19" s="2">
        <f>IFERROR(_xlfn.XLOOKUP(I19, conversao_direcao!$A:$A, conversao_direcao!$B:$B), "")</f>
        <v>90</v>
      </c>
    </row>
    <row r="20" spans="1:20" x14ac:dyDescent="0.3">
      <c r="A20">
        <f t="shared" si="0"/>
        <v>2016</v>
      </c>
      <c r="B20" s="2"/>
      <c r="C20" s="2" t="s">
        <v>9</v>
      </c>
      <c r="D20" s="2" t="s">
        <v>12</v>
      </c>
      <c r="E20" s="2" t="s">
        <v>8</v>
      </c>
      <c r="F20" s="2" t="s">
        <v>8</v>
      </c>
      <c r="G20" s="2" t="s">
        <v>7</v>
      </c>
      <c r="H20" s="2" t="s">
        <v>8</v>
      </c>
      <c r="I20" s="1" t="s">
        <v>7</v>
      </c>
      <c r="L20">
        <f t="shared" si="1"/>
        <v>2016</v>
      </c>
      <c r="M20" s="2">
        <f>IFERROR(_xlfn.XLOOKUP(B20, conversao_direcao!$A:$A, conversao_direcao!$B:$B), "")</f>
        <v>0</v>
      </c>
      <c r="N20" s="2">
        <f>IFERROR(_xlfn.XLOOKUP(C20, conversao_direcao!$A:$A, conversao_direcao!$B:$B), "")</f>
        <v>135</v>
      </c>
      <c r="O20" s="2">
        <f>IFERROR(_xlfn.XLOOKUP(D20, conversao_direcao!$A:$A, conversao_direcao!$B:$B), "")</f>
        <v>0</v>
      </c>
      <c r="P20" s="2">
        <f>IFERROR(_xlfn.XLOOKUP(E20, conversao_direcao!$A:$A, conversao_direcao!$B:$B), "")</f>
        <v>90</v>
      </c>
      <c r="Q20" s="2">
        <f>IFERROR(_xlfn.XLOOKUP(F20, conversao_direcao!$A:$A, conversao_direcao!$B:$B), "")</f>
        <v>90</v>
      </c>
      <c r="R20" s="2">
        <f>IFERROR(_xlfn.XLOOKUP(G20, conversao_direcao!$A:$A, conversao_direcao!$B:$B), "")</f>
        <v>180</v>
      </c>
      <c r="S20" s="2">
        <f>IFERROR(_xlfn.XLOOKUP(H20, conversao_direcao!$A:$A, conversao_direcao!$B:$B), "")</f>
        <v>90</v>
      </c>
      <c r="T20" s="2">
        <f>IFERROR(_xlfn.XLOOKUP(I20, conversao_direcao!$A:$A, conversao_direcao!$B:$B), "")</f>
        <v>180</v>
      </c>
    </row>
    <row r="21" spans="1:20" x14ac:dyDescent="0.3">
      <c r="A21">
        <f>A20+1</f>
        <v>2017</v>
      </c>
      <c r="B21" s="2" t="s">
        <v>7</v>
      </c>
      <c r="C21" s="2" t="s">
        <v>8</v>
      </c>
      <c r="D21" s="2" t="s">
        <v>8</v>
      </c>
      <c r="E21" s="2" t="s">
        <v>7</v>
      </c>
      <c r="F21" s="2" t="s">
        <v>7</v>
      </c>
      <c r="G21" s="2" t="s">
        <v>8</v>
      </c>
      <c r="H21" s="2" t="s">
        <v>8</v>
      </c>
      <c r="I21" s="1" t="s">
        <v>7</v>
      </c>
      <c r="L21">
        <f>L20+1</f>
        <v>2017</v>
      </c>
      <c r="M21" s="2">
        <f>IFERROR(_xlfn.XLOOKUP(B21, conversao_direcao!$A:$A, conversao_direcao!$B:$B), "")</f>
        <v>180</v>
      </c>
      <c r="N21" s="2">
        <f>IFERROR(_xlfn.XLOOKUP(C21, conversao_direcao!$A:$A, conversao_direcao!$B:$B), "")</f>
        <v>90</v>
      </c>
      <c r="O21" s="2">
        <f>IFERROR(_xlfn.XLOOKUP(D21, conversao_direcao!$A:$A, conversao_direcao!$B:$B), "")</f>
        <v>90</v>
      </c>
      <c r="P21" s="2">
        <f>IFERROR(_xlfn.XLOOKUP(E21, conversao_direcao!$A:$A, conversao_direcao!$B:$B), "")</f>
        <v>180</v>
      </c>
      <c r="Q21" s="2">
        <f>IFERROR(_xlfn.XLOOKUP(F21, conversao_direcao!$A:$A, conversao_direcao!$B:$B), "")</f>
        <v>180</v>
      </c>
      <c r="R21" s="2">
        <f>IFERROR(_xlfn.XLOOKUP(G21, conversao_direcao!$A:$A, conversao_direcao!$B:$B), "")</f>
        <v>90</v>
      </c>
      <c r="S21" s="2">
        <f>IFERROR(_xlfn.XLOOKUP(H21, conversao_direcao!$A:$A, conversao_direcao!$B:$B), "")</f>
        <v>90</v>
      </c>
      <c r="T21" s="2">
        <f>IFERROR(_xlfn.XLOOKUP(I21, conversao_direcao!$A:$A, conversao_direcao!$B:$B), "")</f>
        <v>180</v>
      </c>
    </row>
    <row r="22" spans="1:20" x14ac:dyDescent="0.3">
      <c r="A22">
        <f t="shared" si="0"/>
        <v>2018</v>
      </c>
      <c r="B22" s="2" t="s">
        <v>7</v>
      </c>
      <c r="C22" s="2" t="s">
        <v>7</v>
      </c>
      <c r="D22" s="2" t="s">
        <v>7</v>
      </c>
      <c r="E22" s="2" t="s">
        <v>8</v>
      </c>
      <c r="F22" s="2" t="s">
        <v>8</v>
      </c>
      <c r="G22" s="2" t="s">
        <v>8</v>
      </c>
      <c r="H22" s="2" t="s">
        <v>8</v>
      </c>
      <c r="I22" s="1" t="s">
        <v>7</v>
      </c>
      <c r="L22">
        <f t="shared" si="1"/>
        <v>2018</v>
      </c>
      <c r="M22" s="2">
        <f>IFERROR(_xlfn.XLOOKUP(B22, conversao_direcao!$A:$A, conversao_direcao!$B:$B), "")</f>
        <v>180</v>
      </c>
      <c r="N22" s="2">
        <f>IFERROR(_xlfn.XLOOKUP(C22, conversao_direcao!$A:$A, conversao_direcao!$B:$B), "")</f>
        <v>180</v>
      </c>
      <c r="O22" s="2">
        <f>IFERROR(_xlfn.XLOOKUP(D22, conversao_direcao!$A:$A, conversao_direcao!$B:$B), "")</f>
        <v>180</v>
      </c>
      <c r="P22" s="2">
        <f>IFERROR(_xlfn.XLOOKUP(E22, conversao_direcao!$A:$A, conversao_direcao!$B:$B), "")</f>
        <v>90</v>
      </c>
      <c r="Q22" s="2">
        <f>IFERROR(_xlfn.XLOOKUP(F22, conversao_direcao!$A:$A, conversao_direcao!$B:$B), "")</f>
        <v>90</v>
      </c>
      <c r="R22" s="2">
        <f>IFERROR(_xlfn.XLOOKUP(G22, conversao_direcao!$A:$A, conversao_direcao!$B:$B), "")</f>
        <v>90</v>
      </c>
      <c r="S22" s="2">
        <f>IFERROR(_xlfn.XLOOKUP(H22, conversao_direcao!$A:$A, conversao_direcao!$B:$B), "")</f>
        <v>90</v>
      </c>
      <c r="T22" s="2">
        <f>IFERROR(_xlfn.XLOOKUP(I22, conversao_direcao!$A:$A, conversao_direcao!$B:$B), "")</f>
        <v>180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5547-35A3-4E22-AAB7-C7E3856C8D66}">
  <dimension ref="B2:P25"/>
  <sheetViews>
    <sheetView tabSelected="1" workbookViewId="0">
      <selection activeCell="S16" sqref="S16"/>
    </sheetView>
  </sheetViews>
  <sheetFormatPr defaultRowHeight="14.4" x14ac:dyDescent="0.3"/>
  <cols>
    <col min="3" max="3" width="15" customWidth="1"/>
    <col min="11" max="11" width="8.88671875" customWidth="1"/>
    <col min="12" max="12" width="11" customWidth="1"/>
    <col min="13" max="13" width="8.88671875" customWidth="1"/>
    <col min="15" max="15" width="8.88671875" customWidth="1"/>
  </cols>
  <sheetData>
    <row r="2" spans="2:16" x14ac:dyDescent="0.3">
      <c r="C2" s="1" t="s">
        <v>14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L2" s="1"/>
      <c r="M2" s="1" t="s">
        <v>26</v>
      </c>
      <c r="N2" s="1" t="s">
        <v>27</v>
      </c>
      <c r="O2" s="1" t="s">
        <v>28</v>
      </c>
      <c r="P2" s="1" t="s">
        <v>29</v>
      </c>
    </row>
    <row r="3" spans="2:16" x14ac:dyDescent="0.3">
      <c r="B3">
        <v>1998</v>
      </c>
      <c r="C3" s="2">
        <f>IF(ISBLANK(Planilha1!B2),"",IFERROR(_xlfn.XLOOKUP(Planilha1!B2, conversao_direcao!$A:$A, conversao_direcao!$B:$B), ""))</f>
        <v>180</v>
      </c>
      <c r="D3" s="2">
        <f>IF(ISBLANK(Planilha1!C2),"",IFERROR(_xlfn.XLOOKUP(Planilha1!C2, conversao_direcao!$A:$A, conversao_direcao!$B:$B), ""))</f>
        <v>90</v>
      </c>
      <c r="E3" s="2">
        <f>IF(ISBLANK(Planilha1!D2),"",IFERROR(_xlfn.XLOOKUP(Planilha1!D2, conversao_direcao!$A:$A, conversao_direcao!$B:$B), ""))</f>
        <v>180</v>
      </c>
      <c r="F3" s="2">
        <f>IF(ISBLANK(Planilha1!E2),"",IFERROR(_xlfn.XLOOKUP(Planilha1!E2, conversao_direcao!$A:$A, conversao_direcao!$B:$B), ""))</f>
        <v>180</v>
      </c>
      <c r="G3" s="2">
        <f>IF(ISBLANK(Planilha1!F2),"",IFERROR(_xlfn.XLOOKUP(Planilha1!F2, conversao_direcao!$A:$A, conversao_direcao!$B:$B), ""))</f>
        <v>180</v>
      </c>
      <c r="H3" s="2">
        <f>IF(ISBLANK(Planilha1!G2),"",IFERROR(_xlfn.XLOOKUP(Planilha1!G2, conversao_direcao!$A:$A, conversao_direcao!$B:$B), ""))</f>
        <v>180</v>
      </c>
      <c r="I3" s="2">
        <f>IF(ISBLANK(Planilha1!H2),"",IFERROR(_xlfn.XLOOKUP(Planilha1!H2, conversao_direcao!$A:$A, conversao_direcao!$B:$B), ""))</f>
        <v>135</v>
      </c>
      <c r="J3" s="2">
        <f>IF(ISBLANK(Planilha1!I2),"",IFERROR(_xlfn.XLOOKUP(Planilha1!I2, conversao_direcao!$A:$A, conversao_direcao!$B:$B), ""))</f>
        <v>135</v>
      </c>
      <c r="L3">
        <v>1998</v>
      </c>
      <c r="M3" s="1">
        <f>AVERAGE(C3:E3)</f>
        <v>150</v>
      </c>
      <c r="N3" s="1">
        <f>AVERAGE(D3:F3)</f>
        <v>150</v>
      </c>
      <c r="O3" s="1">
        <f>AVERAGE(G3:I3)</f>
        <v>165</v>
      </c>
      <c r="P3" s="1">
        <f>AVERAGE(H3:J3)</f>
        <v>150</v>
      </c>
    </row>
    <row r="4" spans="2:16" x14ac:dyDescent="0.3">
      <c r="B4">
        <f>B3+1</f>
        <v>1999</v>
      </c>
      <c r="C4" s="2">
        <f>IF(ISBLANK(Planilha1!B3),"",IFERROR(_xlfn.XLOOKUP(Planilha1!B3, conversao_direcao!$A:$A, conversao_direcao!$B:$B), ""))</f>
        <v>90</v>
      </c>
      <c r="D4" s="2">
        <f>IF(ISBLANK(Planilha1!C3),"",IFERROR(_xlfn.XLOOKUP(Planilha1!C3, conversao_direcao!$A:$A, conversao_direcao!$B:$B), ""))</f>
        <v>180</v>
      </c>
      <c r="E4" s="2">
        <f>IF(ISBLANK(Planilha1!D3),"",IFERROR(_xlfn.XLOOKUP(Planilha1!D3, conversao_direcao!$A:$A, conversao_direcao!$B:$B), ""))</f>
        <v>90</v>
      </c>
      <c r="F4" s="2">
        <f>IF(ISBLANK(Planilha1!E3),"",IFERROR(_xlfn.XLOOKUP(Planilha1!E3, conversao_direcao!$A:$A, conversao_direcao!$B:$B), ""))</f>
        <v>180</v>
      </c>
      <c r="G4" s="2">
        <f>IF(ISBLANK(Planilha1!F3),"",IFERROR(_xlfn.XLOOKUP(Planilha1!F3, conversao_direcao!$A:$A, conversao_direcao!$B:$B), ""))</f>
        <v>90</v>
      </c>
      <c r="H4" s="2">
        <f>IF(ISBLANK(Planilha1!G3),"",IFERROR(_xlfn.XLOOKUP(Planilha1!G3, conversao_direcao!$A:$A, conversao_direcao!$B:$B), ""))</f>
        <v>90</v>
      </c>
      <c r="I4" s="2">
        <f>IF(ISBLANK(Planilha1!H3),"",IFERROR(_xlfn.XLOOKUP(Planilha1!H3, conversao_direcao!$A:$A, conversao_direcao!$B:$B), ""))</f>
        <v>90</v>
      </c>
      <c r="J4" s="2">
        <f>IF(ISBLANK(Planilha1!I3),"",IFERROR(_xlfn.XLOOKUP(Planilha1!I3, conversao_direcao!$A:$A, conversao_direcao!$B:$B), ""))</f>
        <v>90</v>
      </c>
      <c r="L4">
        <f>L3+1</f>
        <v>1999</v>
      </c>
      <c r="M4" s="1">
        <f t="shared" ref="M4:M23" si="0">AVERAGE(C4:E4)</f>
        <v>120</v>
      </c>
      <c r="N4" s="1">
        <f t="shared" ref="N4:N23" si="1">AVERAGE(D4:F4)</f>
        <v>150</v>
      </c>
      <c r="O4" s="1">
        <f t="shared" ref="O4:O23" si="2">AVERAGE(G4:I4)</f>
        <v>90</v>
      </c>
      <c r="P4" s="1">
        <f t="shared" ref="P4:P23" si="3">AVERAGE(H4:J4)</f>
        <v>90</v>
      </c>
    </row>
    <row r="5" spans="2:16" x14ac:dyDescent="0.3">
      <c r="B5">
        <f t="shared" ref="B5:B23" si="4">B4+1</f>
        <v>2000</v>
      </c>
      <c r="C5" s="2">
        <f>IF(ISBLANK(Planilha1!B4),"",IFERROR(_xlfn.XLOOKUP(Planilha1!B4, conversao_direcao!$A:$A, conversao_direcao!$B:$B), ""))</f>
        <v>180</v>
      </c>
      <c r="D5" s="2">
        <f>IF(ISBLANK(Planilha1!C4),"",IFERROR(_xlfn.XLOOKUP(Planilha1!C4, conversao_direcao!$A:$A, conversao_direcao!$B:$B), ""))</f>
        <v>90</v>
      </c>
      <c r="E5" s="2">
        <f>IF(ISBLANK(Planilha1!D4),"",IFERROR(_xlfn.XLOOKUP(Planilha1!D4, conversao_direcao!$A:$A, conversao_direcao!$B:$B), ""))</f>
        <v>270</v>
      </c>
      <c r="F5" s="2">
        <f>IF(ISBLANK(Planilha1!E4),"",IFERROR(_xlfn.XLOOKUP(Planilha1!E4, conversao_direcao!$A:$A, conversao_direcao!$B:$B), ""))</f>
        <v>90</v>
      </c>
      <c r="G5" s="2">
        <f>IF(ISBLANK(Planilha1!F4),"",IFERROR(_xlfn.XLOOKUP(Planilha1!F4, conversao_direcao!$A:$A, conversao_direcao!$B:$B), ""))</f>
        <v>90</v>
      </c>
      <c r="H5" s="2">
        <f>IF(ISBLANK(Planilha1!G4),"",IFERROR(_xlfn.XLOOKUP(Planilha1!G4, conversao_direcao!$A:$A, conversao_direcao!$B:$B), ""))</f>
        <v>90</v>
      </c>
      <c r="I5" s="2">
        <f>IF(ISBLANK(Planilha1!H4),"",IFERROR(_xlfn.XLOOKUP(Planilha1!H4, conversao_direcao!$A:$A, conversao_direcao!$B:$B), ""))</f>
        <v>45</v>
      </c>
      <c r="J5" s="2">
        <f>IF(ISBLANK(Planilha1!I4),"",IFERROR(_xlfn.XLOOKUP(Planilha1!I4, conversao_direcao!$A:$A, conversao_direcao!$B:$B), ""))</f>
        <v>90</v>
      </c>
      <c r="L5">
        <f t="shared" ref="L5:L23" si="5">L4+1</f>
        <v>2000</v>
      </c>
      <c r="M5" s="1">
        <f t="shared" si="0"/>
        <v>180</v>
      </c>
      <c r="N5" s="1">
        <f t="shared" si="1"/>
        <v>150</v>
      </c>
      <c r="O5" s="1">
        <f t="shared" si="2"/>
        <v>75</v>
      </c>
      <c r="P5" s="1">
        <f t="shared" si="3"/>
        <v>75</v>
      </c>
    </row>
    <row r="6" spans="2:16" x14ac:dyDescent="0.3">
      <c r="B6">
        <f t="shared" si="4"/>
        <v>2001</v>
      </c>
      <c r="C6" s="2">
        <f>IF(ISBLANK(Planilha1!B5),"",IFERROR(_xlfn.XLOOKUP(Planilha1!B5, conversao_direcao!$A:$A, conversao_direcao!$B:$B), ""))</f>
        <v>90</v>
      </c>
      <c r="D6" s="2">
        <f>IF(ISBLANK(Planilha1!C5),"",IFERROR(_xlfn.XLOOKUP(Planilha1!C5, conversao_direcao!$A:$A, conversao_direcao!$B:$B), ""))</f>
        <v>0</v>
      </c>
      <c r="E6" s="2">
        <f>IF(ISBLANK(Planilha1!D5),"",IFERROR(_xlfn.XLOOKUP(Planilha1!D5, conversao_direcao!$A:$A, conversao_direcao!$B:$B), ""))</f>
        <v>270</v>
      </c>
      <c r="F6" s="2">
        <f>IF(ISBLANK(Planilha1!E5),"",IFERROR(_xlfn.XLOOKUP(Planilha1!E5, conversao_direcao!$A:$A, conversao_direcao!$B:$B), ""))</f>
        <v>90</v>
      </c>
      <c r="G6" s="2">
        <f>IF(ISBLANK(Planilha1!F5),"",IFERROR(_xlfn.XLOOKUP(Planilha1!F5, conversao_direcao!$A:$A, conversao_direcao!$B:$B), ""))</f>
        <v>90</v>
      </c>
      <c r="H6" s="2">
        <f>IF(ISBLANK(Planilha1!G5),"",IFERROR(_xlfn.XLOOKUP(Planilha1!G5, conversao_direcao!$A:$A, conversao_direcao!$B:$B), ""))</f>
        <v>90</v>
      </c>
      <c r="I6" s="2">
        <f>IF(ISBLANK(Planilha1!H5),"",IFERROR(_xlfn.XLOOKUP(Planilha1!H5, conversao_direcao!$A:$A, conversao_direcao!$B:$B), ""))</f>
        <v>90</v>
      </c>
      <c r="J6" s="2">
        <f>IF(ISBLANK(Planilha1!I5),"",IFERROR(_xlfn.XLOOKUP(Planilha1!I5, conversao_direcao!$A:$A, conversao_direcao!$B:$B), ""))</f>
        <v>90</v>
      </c>
      <c r="L6">
        <f t="shared" si="5"/>
        <v>2001</v>
      </c>
      <c r="M6" s="1">
        <f t="shared" si="0"/>
        <v>120</v>
      </c>
      <c r="N6" s="1">
        <f t="shared" si="1"/>
        <v>120</v>
      </c>
      <c r="O6" s="1">
        <f t="shared" si="2"/>
        <v>90</v>
      </c>
      <c r="P6" s="1">
        <f t="shared" si="3"/>
        <v>90</v>
      </c>
    </row>
    <row r="7" spans="2:16" x14ac:dyDescent="0.3">
      <c r="B7">
        <f t="shared" si="4"/>
        <v>2002</v>
      </c>
      <c r="C7" s="2">
        <f>IF(ISBLANK(Planilha1!B6),"",IFERROR(_xlfn.XLOOKUP(Planilha1!B6, conversao_direcao!$A:$A, conversao_direcao!$B:$B), ""))</f>
        <v>90</v>
      </c>
      <c r="D7" s="2">
        <f>IF(ISBLANK(Planilha1!C6),"",IFERROR(_xlfn.XLOOKUP(Planilha1!C6, conversao_direcao!$A:$A, conversao_direcao!$B:$B), ""))</f>
        <v>135</v>
      </c>
      <c r="E7" s="2">
        <f>IF(ISBLANK(Planilha1!D6),"",IFERROR(_xlfn.XLOOKUP(Planilha1!D6, conversao_direcao!$A:$A, conversao_direcao!$B:$B), ""))</f>
        <v>90</v>
      </c>
      <c r="F7" s="2">
        <f>IF(ISBLANK(Planilha1!E6),"",IFERROR(_xlfn.XLOOKUP(Planilha1!E6, conversao_direcao!$A:$A, conversao_direcao!$B:$B), ""))</f>
        <v>90</v>
      </c>
      <c r="G7" s="2">
        <f>IF(ISBLANK(Planilha1!F6),"",IFERROR(_xlfn.XLOOKUP(Planilha1!F6, conversao_direcao!$A:$A, conversao_direcao!$B:$B), ""))</f>
        <v>90</v>
      </c>
      <c r="H7" s="2">
        <f>IF(ISBLANK(Planilha1!G6),"",IFERROR(_xlfn.XLOOKUP(Planilha1!G6, conversao_direcao!$A:$A, conversao_direcao!$B:$B), ""))</f>
        <v>90</v>
      </c>
      <c r="I7" s="2" t="str">
        <f>IF(ISBLANK(Planilha1!H6),"",IFERROR(_xlfn.XLOOKUP(Planilha1!H6, conversao_direcao!$A:$A, conversao_direcao!$B:$B), ""))</f>
        <v/>
      </c>
      <c r="J7" s="2">
        <f>IF(ISBLANK(Planilha1!I6),"",IFERROR(_xlfn.XLOOKUP(Planilha1!I6, conversao_direcao!$A:$A, conversao_direcao!$B:$B), ""))</f>
        <v>90</v>
      </c>
      <c r="L7">
        <f t="shared" si="5"/>
        <v>2002</v>
      </c>
      <c r="M7" s="1">
        <f t="shared" si="0"/>
        <v>105</v>
      </c>
      <c r="N7" s="1">
        <f t="shared" si="1"/>
        <v>105</v>
      </c>
      <c r="O7" s="1">
        <f t="shared" si="2"/>
        <v>90</v>
      </c>
      <c r="P7" s="1">
        <f t="shared" si="3"/>
        <v>90</v>
      </c>
    </row>
    <row r="8" spans="2:16" x14ac:dyDescent="0.3">
      <c r="B8">
        <f t="shared" si="4"/>
        <v>2003</v>
      </c>
      <c r="C8" s="2">
        <f>IF(ISBLANK(Planilha1!B7),"",IFERROR(_xlfn.XLOOKUP(Planilha1!B7, conversao_direcao!$A:$A, conversao_direcao!$B:$B), ""))</f>
        <v>135</v>
      </c>
      <c r="D8" s="2">
        <f>IF(ISBLANK(Planilha1!C7),"",IFERROR(_xlfn.XLOOKUP(Planilha1!C7, conversao_direcao!$A:$A, conversao_direcao!$B:$B), ""))</f>
        <v>45</v>
      </c>
      <c r="E8" s="2">
        <f>IF(ISBLANK(Planilha1!D7),"",IFERROR(_xlfn.XLOOKUP(Planilha1!D7, conversao_direcao!$A:$A, conversao_direcao!$B:$B), ""))</f>
        <v>45</v>
      </c>
      <c r="F8" s="2">
        <f>IF(ISBLANK(Planilha1!E7),"",IFERROR(_xlfn.XLOOKUP(Planilha1!E7, conversao_direcao!$A:$A, conversao_direcao!$B:$B), ""))</f>
        <v>45</v>
      </c>
      <c r="G8" s="2">
        <f>IF(ISBLANK(Planilha1!F7),"",IFERROR(_xlfn.XLOOKUP(Planilha1!F7, conversao_direcao!$A:$A, conversao_direcao!$B:$B), ""))</f>
        <v>45</v>
      </c>
      <c r="H8" s="2">
        <f>IF(ISBLANK(Planilha1!G7),"",IFERROR(_xlfn.XLOOKUP(Planilha1!G7, conversao_direcao!$A:$A, conversao_direcao!$B:$B), ""))</f>
        <v>90</v>
      </c>
      <c r="I8" s="2">
        <f>IF(ISBLANK(Planilha1!H7),"",IFERROR(_xlfn.XLOOKUP(Planilha1!H7, conversao_direcao!$A:$A, conversao_direcao!$B:$B), ""))</f>
        <v>90</v>
      </c>
      <c r="J8" s="2">
        <f>IF(ISBLANK(Planilha1!I7),"",IFERROR(_xlfn.XLOOKUP(Planilha1!I7, conversao_direcao!$A:$A, conversao_direcao!$B:$B), ""))</f>
        <v>180</v>
      </c>
      <c r="L8">
        <f t="shared" si="5"/>
        <v>2003</v>
      </c>
      <c r="M8" s="1">
        <f t="shared" si="0"/>
        <v>75</v>
      </c>
      <c r="N8" s="1">
        <f t="shared" si="1"/>
        <v>45</v>
      </c>
      <c r="O8" s="1">
        <f t="shared" si="2"/>
        <v>75</v>
      </c>
      <c r="P8" s="1">
        <f t="shared" si="3"/>
        <v>120</v>
      </c>
    </row>
    <row r="9" spans="2:16" x14ac:dyDescent="0.3">
      <c r="B9">
        <f t="shared" si="4"/>
        <v>2004</v>
      </c>
      <c r="C9" s="2">
        <f>IF(ISBLANK(Planilha1!B8),"",IFERROR(_xlfn.XLOOKUP(Planilha1!B8, conversao_direcao!$A:$A, conversao_direcao!$B:$B), ""))</f>
        <v>90</v>
      </c>
      <c r="D9" s="2">
        <f>IF(ISBLANK(Planilha1!C8),"",IFERROR(_xlfn.XLOOKUP(Planilha1!C8, conversao_direcao!$A:$A, conversao_direcao!$B:$B), ""))</f>
        <v>45</v>
      </c>
      <c r="E9" s="2">
        <f>IF(ISBLANK(Planilha1!D8),"",IFERROR(_xlfn.XLOOKUP(Planilha1!D8, conversao_direcao!$A:$A, conversao_direcao!$B:$B), ""))</f>
        <v>90</v>
      </c>
      <c r="F9" s="2">
        <f>IF(ISBLANK(Planilha1!E8),"",IFERROR(_xlfn.XLOOKUP(Planilha1!E8, conversao_direcao!$A:$A, conversao_direcao!$B:$B), ""))</f>
        <v>135</v>
      </c>
      <c r="G9" s="2">
        <f>IF(ISBLANK(Planilha1!F8),"",IFERROR(_xlfn.XLOOKUP(Planilha1!F8, conversao_direcao!$A:$A, conversao_direcao!$B:$B), ""))</f>
        <v>45</v>
      </c>
      <c r="H9" s="2">
        <f>IF(ISBLANK(Planilha1!G8),"",IFERROR(_xlfn.XLOOKUP(Planilha1!G8, conversao_direcao!$A:$A, conversao_direcao!$B:$B), ""))</f>
        <v>90</v>
      </c>
      <c r="I9" s="2">
        <f>IF(ISBLANK(Planilha1!H8),"",IFERROR(_xlfn.XLOOKUP(Planilha1!H8, conversao_direcao!$A:$A, conversao_direcao!$B:$B), ""))</f>
        <v>90</v>
      </c>
      <c r="J9" s="2">
        <f>IF(ISBLANK(Planilha1!I8),"",IFERROR(_xlfn.XLOOKUP(Planilha1!I8, conversao_direcao!$A:$A, conversao_direcao!$B:$B), ""))</f>
        <v>90</v>
      </c>
      <c r="L9">
        <f t="shared" si="5"/>
        <v>2004</v>
      </c>
      <c r="M9" s="1">
        <f t="shared" si="0"/>
        <v>75</v>
      </c>
      <c r="N9" s="1">
        <f t="shared" si="1"/>
        <v>90</v>
      </c>
      <c r="O9" s="1">
        <f t="shared" si="2"/>
        <v>75</v>
      </c>
      <c r="P9" s="1">
        <f t="shared" si="3"/>
        <v>90</v>
      </c>
    </row>
    <row r="10" spans="2:16" x14ac:dyDescent="0.3">
      <c r="B10">
        <f t="shared" si="4"/>
        <v>2005</v>
      </c>
      <c r="C10" s="2" t="str">
        <f>IF(ISBLANK(Planilha1!B9),"",IFERROR(_xlfn.XLOOKUP(Planilha1!B9, conversao_direcao!$A:$A, conversao_direcao!$B:$B),))</f>
        <v/>
      </c>
      <c r="D10" s="2">
        <f>IF(ISBLANK(Planilha1!C9),"",IFERROR(_xlfn.XLOOKUP(Planilha1!C9, conversao_direcao!$A:$A, conversao_direcao!$B:$B), ""))</f>
        <v>0</v>
      </c>
      <c r="E10" s="2">
        <f>IF(ISBLANK(Planilha1!D9),"",IFERROR(_xlfn.XLOOKUP(Planilha1!D9, conversao_direcao!$A:$A, conversao_direcao!$B:$B), ""))</f>
        <v>225</v>
      </c>
      <c r="F10" s="2" t="str">
        <f>IF(ISBLANK(Planilha1!E9),"",IFERROR(_xlfn.XLOOKUP(Planilha1!E9, conversao_direcao!$A:$A, conversao_direcao!$B:$B), ""))</f>
        <v/>
      </c>
      <c r="G10" s="2">
        <f>IF(ISBLANK(Planilha1!F9),"",IFERROR(_xlfn.XLOOKUP(Planilha1!F9, conversao_direcao!$A:$A, conversao_direcao!$B:$B), ""))</f>
        <v>45</v>
      </c>
      <c r="H10" s="2">
        <f>IF(ISBLANK(Planilha1!G9),"",IFERROR(_xlfn.XLOOKUP(Planilha1!G9, conversao_direcao!$A:$A, conversao_direcao!$B:$B), ""))</f>
        <v>45</v>
      </c>
      <c r="I10" s="2" t="str">
        <f>IF(ISBLANK(Planilha1!H9),"",IFERROR(_xlfn.XLOOKUP(Planilha1!H9, conversao_direcao!$A:$A, conversao_direcao!$B:$B), ""))</f>
        <v/>
      </c>
      <c r="J10" s="2">
        <f>IF(ISBLANK(Planilha1!I9),"",IFERROR(_xlfn.XLOOKUP(Planilha1!I9, conversao_direcao!$A:$A, conversao_direcao!$B:$B), ""))</f>
        <v>45</v>
      </c>
      <c r="L10">
        <f t="shared" si="5"/>
        <v>2005</v>
      </c>
      <c r="M10" s="1">
        <f t="shared" si="0"/>
        <v>112.5</v>
      </c>
      <c r="N10" s="1">
        <f t="shared" si="1"/>
        <v>112.5</v>
      </c>
      <c r="O10" s="1">
        <f t="shared" si="2"/>
        <v>45</v>
      </c>
      <c r="P10" s="1">
        <f t="shared" si="3"/>
        <v>45</v>
      </c>
    </row>
    <row r="11" spans="2:16" x14ac:dyDescent="0.3">
      <c r="B11">
        <f t="shared" si="4"/>
        <v>2006</v>
      </c>
      <c r="C11" s="2" t="str">
        <f>IF(ISBLANK(Planilha1!B10),"",IFERROR(_xlfn.XLOOKUP(Planilha1!B10, conversao_direcao!$A:$A, conversao_direcao!$B:$B), ""))</f>
        <v/>
      </c>
      <c r="D11" s="2">
        <f>IF(ISBLANK(Planilha1!C10),"",IFERROR(_xlfn.XLOOKUP(Planilha1!C10, conversao_direcao!$A:$A, conversao_direcao!$B:$B), ""))</f>
        <v>0</v>
      </c>
      <c r="E11" s="2">
        <f>IF(ISBLANK(Planilha1!D10),"",IFERROR(_xlfn.XLOOKUP(Planilha1!D10, conversao_direcao!$A:$A, conversao_direcao!$B:$B), ""))</f>
        <v>45</v>
      </c>
      <c r="F11" s="2">
        <f>IF(ISBLANK(Planilha1!E10),"",IFERROR(_xlfn.XLOOKUP(Planilha1!E10, conversao_direcao!$A:$A, conversao_direcao!$B:$B), ""))</f>
        <v>90</v>
      </c>
      <c r="G11" s="2">
        <f>IF(ISBLANK(Planilha1!F10),"",IFERROR(_xlfn.XLOOKUP(Planilha1!F10, conversao_direcao!$A:$A, conversao_direcao!$B:$B), ""))</f>
        <v>135</v>
      </c>
      <c r="H11" s="2">
        <f>IF(ISBLANK(Planilha1!G10),"",IFERROR(_xlfn.XLOOKUP(Planilha1!G10, conversao_direcao!$A:$A, conversao_direcao!$B:$B), ""))</f>
        <v>90</v>
      </c>
      <c r="I11" s="2">
        <f>IF(ISBLANK(Planilha1!H10),"",IFERROR(_xlfn.XLOOKUP(Planilha1!H10, conversao_direcao!$A:$A, conversao_direcao!$B:$B), ""))</f>
        <v>45</v>
      </c>
      <c r="J11" s="2">
        <f>IF(ISBLANK(Planilha1!I10),"",IFERROR(_xlfn.XLOOKUP(Planilha1!I10, conversao_direcao!$A:$A, conversao_direcao!$B:$B), ""))</f>
        <v>90</v>
      </c>
      <c r="L11">
        <f t="shared" si="5"/>
        <v>2006</v>
      </c>
      <c r="M11" s="1">
        <f t="shared" si="0"/>
        <v>22.5</v>
      </c>
      <c r="N11" s="1">
        <f t="shared" si="1"/>
        <v>45</v>
      </c>
      <c r="O11" s="1">
        <f t="shared" si="2"/>
        <v>90</v>
      </c>
      <c r="P11" s="1">
        <f t="shared" si="3"/>
        <v>75</v>
      </c>
    </row>
    <row r="12" spans="2:16" x14ac:dyDescent="0.3">
      <c r="B12">
        <f t="shared" si="4"/>
        <v>2007</v>
      </c>
      <c r="C12" s="2">
        <f>IF(ISBLANK(Planilha1!B11),"",IFERROR(_xlfn.XLOOKUP(Planilha1!B11, conversao_direcao!$A:$A, conversao_direcao!$B:$B), ""))</f>
        <v>0</v>
      </c>
      <c r="D12" s="2" t="str">
        <f>IF(ISBLANK(Planilha1!C11),"",IFERROR(_xlfn.XLOOKUP(Planilha1!C11, conversao_direcao!$A:$A, conversao_direcao!$B:$B), ""))</f>
        <v/>
      </c>
      <c r="E12" s="2">
        <f>IF(ISBLANK(Planilha1!D11),"",IFERROR(_xlfn.XLOOKUP(Planilha1!D11, conversao_direcao!$A:$A, conversao_direcao!$B:$B), ""))</f>
        <v>135</v>
      </c>
      <c r="F12" s="2">
        <f>IF(ISBLANK(Planilha1!E11),"",IFERROR(_xlfn.XLOOKUP(Planilha1!E11, conversao_direcao!$A:$A, conversao_direcao!$B:$B), ""))</f>
        <v>90</v>
      </c>
      <c r="G12" s="2">
        <f>IF(ISBLANK(Planilha1!F11),"",IFERROR(_xlfn.XLOOKUP(Planilha1!F11, conversao_direcao!$A:$A, conversao_direcao!$B:$B), ""))</f>
        <v>45</v>
      </c>
      <c r="H12" s="2">
        <f>IF(ISBLANK(Planilha1!G11),"",IFERROR(_xlfn.XLOOKUP(Planilha1!G11, conversao_direcao!$A:$A, conversao_direcao!$B:$B), ""))</f>
        <v>45</v>
      </c>
      <c r="I12" s="2">
        <f>IF(ISBLANK(Planilha1!H11),"",IFERROR(_xlfn.XLOOKUP(Planilha1!H11, conversao_direcao!$A:$A, conversao_direcao!$B:$B), ""))</f>
        <v>45</v>
      </c>
      <c r="J12" s="2">
        <f>IF(ISBLANK(Planilha1!I11),"",IFERROR(_xlfn.XLOOKUP(Planilha1!I11, conversao_direcao!$A:$A, conversao_direcao!$B:$B), ""))</f>
        <v>45</v>
      </c>
      <c r="L12">
        <f t="shared" si="5"/>
        <v>2007</v>
      </c>
      <c r="M12" s="1">
        <f t="shared" si="0"/>
        <v>67.5</v>
      </c>
      <c r="N12" s="1">
        <f t="shared" si="1"/>
        <v>112.5</v>
      </c>
      <c r="O12" s="1">
        <f t="shared" si="2"/>
        <v>45</v>
      </c>
      <c r="P12" s="1">
        <f t="shared" si="3"/>
        <v>45</v>
      </c>
    </row>
    <row r="13" spans="2:16" x14ac:dyDescent="0.3">
      <c r="B13">
        <f t="shared" si="4"/>
        <v>2008</v>
      </c>
      <c r="C13" s="2">
        <f>IF(ISBLANK(Planilha1!B12),"",IFERROR(_xlfn.XLOOKUP(Planilha1!B12, conversao_direcao!$A:$A, conversao_direcao!$B:$B), ""))</f>
        <v>135</v>
      </c>
      <c r="D13" s="2">
        <f>IF(ISBLANK(Planilha1!C12),"",IFERROR(_xlfn.XLOOKUP(Planilha1!C12, conversao_direcao!$A:$A, conversao_direcao!$B:$B), ""))</f>
        <v>90</v>
      </c>
      <c r="E13" s="2">
        <f>IF(ISBLANK(Planilha1!D12),"",IFERROR(_xlfn.XLOOKUP(Planilha1!D12, conversao_direcao!$A:$A, conversao_direcao!$B:$B), ""))</f>
        <v>135</v>
      </c>
      <c r="F13" s="2">
        <f>IF(ISBLANK(Planilha1!E12),"",IFERROR(_xlfn.XLOOKUP(Planilha1!E12, conversao_direcao!$A:$A, conversao_direcao!$B:$B), ""))</f>
        <v>90</v>
      </c>
      <c r="G13" s="2">
        <f>IF(ISBLANK(Planilha1!F12),"",IFERROR(_xlfn.XLOOKUP(Planilha1!F12, conversao_direcao!$A:$A, conversao_direcao!$B:$B), ""))</f>
        <v>90</v>
      </c>
      <c r="H13" s="2">
        <f>IF(ISBLANK(Planilha1!G12),"",IFERROR(_xlfn.XLOOKUP(Planilha1!G12, conversao_direcao!$A:$A, conversao_direcao!$B:$B), ""))</f>
        <v>45</v>
      </c>
      <c r="I13" s="2">
        <f>IF(ISBLANK(Planilha1!H12),"",IFERROR(_xlfn.XLOOKUP(Planilha1!H12, conversao_direcao!$A:$A, conversao_direcao!$B:$B), ""))</f>
        <v>90</v>
      </c>
      <c r="J13" s="2">
        <f>IF(ISBLANK(Planilha1!I12),"",IFERROR(_xlfn.XLOOKUP(Planilha1!I12, conversao_direcao!$A:$A, conversao_direcao!$B:$B), ""))</f>
        <v>90</v>
      </c>
      <c r="L13">
        <f t="shared" si="5"/>
        <v>2008</v>
      </c>
      <c r="M13" s="1">
        <f t="shared" si="0"/>
        <v>120</v>
      </c>
      <c r="N13" s="1">
        <f t="shared" si="1"/>
        <v>105</v>
      </c>
      <c r="O13" s="1">
        <f t="shared" si="2"/>
        <v>75</v>
      </c>
      <c r="P13" s="1">
        <f t="shared" si="3"/>
        <v>75</v>
      </c>
    </row>
    <row r="14" spans="2:16" x14ac:dyDescent="0.3">
      <c r="B14">
        <f t="shared" si="4"/>
        <v>2009</v>
      </c>
      <c r="C14" s="2">
        <f>IF(ISBLANK(Planilha1!B13),"",IFERROR(_xlfn.XLOOKUP(Planilha1!B13, conversao_direcao!$A:$A, conversao_direcao!$B:$B), ""))</f>
        <v>90</v>
      </c>
      <c r="D14" s="2" t="str">
        <f>IF(ISBLANK(Planilha1!C13),"",IFERROR(_xlfn.XLOOKUP(Planilha1!C13, conversao_direcao!$A:$A, conversao_direcao!$B:$B), ""))</f>
        <v/>
      </c>
      <c r="E14" s="2">
        <f>IF(ISBLANK(Planilha1!D13),"",IFERROR(_xlfn.XLOOKUP(Planilha1!D13, conversao_direcao!$A:$A, conversao_direcao!$B:$B), ""))</f>
        <v>90</v>
      </c>
      <c r="F14" s="2">
        <f>IF(ISBLANK(Planilha1!E13),"",IFERROR(_xlfn.XLOOKUP(Planilha1!E13, conversao_direcao!$A:$A, conversao_direcao!$B:$B), ""))</f>
        <v>90</v>
      </c>
      <c r="G14" s="2">
        <f>IF(ISBLANK(Planilha1!F13),"",IFERROR(_xlfn.XLOOKUP(Planilha1!F13, conversao_direcao!$A:$A, conversao_direcao!$B:$B), ""))</f>
        <v>45</v>
      </c>
      <c r="H14" s="2">
        <f>IF(ISBLANK(Planilha1!G13),"",IFERROR(_xlfn.XLOOKUP(Planilha1!G13, conversao_direcao!$A:$A, conversao_direcao!$B:$B), ""))</f>
        <v>45</v>
      </c>
      <c r="I14" s="2" t="str">
        <f>IF(ISBLANK(Planilha1!H13),"",IFERROR(_xlfn.XLOOKUP(Planilha1!H13, conversao_direcao!$A:$A, conversao_direcao!$B:$B), ""))</f>
        <v/>
      </c>
      <c r="J14" s="2">
        <f>IF(ISBLANK(Planilha1!I13),"",IFERROR(_xlfn.XLOOKUP(Planilha1!I13, conversao_direcao!$A:$A, conversao_direcao!$B:$B), ""))</f>
        <v>90</v>
      </c>
      <c r="L14">
        <f t="shared" si="5"/>
        <v>2009</v>
      </c>
      <c r="M14" s="1">
        <f t="shared" si="0"/>
        <v>90</v>
      </c>
      <c r="N14" s="1">
        <f t="shared" si="1"/>
        <v>90</v>
      </c>
      <c r="O14" s="1">
        <f t="shared" si="2"/>
        <v>45</v>
      </c>
      <c r="P14" s="1">
        <f t="shared" si="3"/>
        <v>67.5</v>
      </c>
    </row>
    <row r="15" spans="2:16" x14ac:dyDescent="0.3">
      <c r="B15">
        <f t="shared" si="4"/>
        <v>2010</v>
      </c>
      <c r="C15" s="2">
        <f>IF(ISBLANK(Planilha1!B14),"",IFERROR(_xlfn.XLOOKUP(Planilha1!B14, conversao_direcao!$A:$A, conversao_direcao!$B:$B), ""))</f>
        <v>90</v>
      </c>
      <c r="D15" s="2">
        <f>IF(ISBLANK(Planilha1!C14),"",IFERROR(_xlfn.XLOOKUP(Planilha1!C14, conversao_direcao!$A:$A, conversao_direcao!$B:$B), ""))</f>
        <v>45</v>
      </c>
      <c r="E15" s="2">
        <f>IF(ISBLANK(Planilha1!D14),"",IFERROR(_xlfn.XLOOKUP(Planilha1!D14, conversao_direcao!$A:$A, conversao_direcao!$B:$B), ""))</f>
        <v>45</v>
      </c>
      <c r="F15" s="2">
        <f>IF(ISBLANK(Planilha1!E14),"",IFERROR(_xlfn.XLOOKUP(Planilha1!E14, conversao_direcao!$A:$A, conversao_direcao!$B:$B), ""))</f>
        <v>90</v>
      </c>
      <c r="G15" s="2">
        <f>IF(ISBLANK(Planilha1!F14),"",IFERROR(_xlfn.XLOOKUP(Planilha1!F14, conversao_direcao!$A:$A, conversao_direcao!$B:$B), ""))</f>
        <v>90</v>
      </c>
      <c r="H15" s="2">
        <f>IF(ISBLANK(Planilha1!G14),"",IFERROR(_xlfn.XLOOKUP(Planilha1!G14, conversao_direcao!$A:$A, conversao_direcao!$B:$B), ""))</f>
        <v>45</v>
      </c>
      <c r="I15" s="2">
        <f>IF(ISBLANK(Planilha1!H14),"",IFERROR(_xlfn.XLOOKUP(Planilha1!H14, conversao_direcao!$A:$A, conversao_direcao!$B:$B), ""))</f>
        <v>45</v>
      </c>
      <c r="J15" s="2">
        <f>IF(ISBLANK(Planilha1!I14),"",IFERROR(_xlfn.XLOOKUP(Planilha1!I14, conversao_direcao!$A:$A, conversao_direcao!$B:$B), ""))</f>
        <v>90</v>
      </c>
      <c r="L15">
        <f t="shared" si="5"/>
        <v>2010</v>
      </c>
      <c r="M15" s="1">
        <f t="shared" si="0"/>
        <v>60</v>
      </c>
      <c r="N15" s="1">
        <f t="shared" si="1"/>
        <v>60</v>
      </c>
      <c r="O15" s="1">
        <f t="shared" si="2"/>
        <v>60</v>
      </c>
      <c r="P15" s="1">
        <f t="shared" si="3"/>
        <v>60</v>
      </c>
    </row>
    <row r="16" spans="2:16" x14ac:dyDescent="0.3">
      <c r="B16">
        <f t="shared" si="4"/>
        <v>2011</v>
      </c>
      <c r="C16" s="2">
        <f>IF(ISBLANK(Planilha1!B15),"",IFERROR(_xlfn.XLOOKUP(Planilha1!B15, conversao_direcao!$A:$A, conversao_direcao!$B:$B), ""))</f>
        <v>90</v>
      </c>
      <c r="D16" s="2">
        <f>IF(ISBLANK(Planilha1!C15),"",IFERROR(_xlfn.XLOOKUP(Planilha1!C15, conversao_direcao!$A:$A, conversao_direcao!$B:$B), ""))</f>
        <v>45</v>
      </c>
      <c r="E16" s="2">
        <f>IF(ISBLANK(Planilha1!D15),"",IFERROR(_xlfn.XLOOKUP(Planilha1!D15, conversao_direcao!$A:$A, conversao_direcao!$B:$B), ""))</f>
        <v>90</v>
      </c>
      <c r="F16" s="2">
        <f>IF(ISBLANK(Planilha1!E15),"",IFERROR(_xlfn.XLOOKUP(Planilha1!E15, conversao_direcao!$A:$A, conversao_direcao!$B:$B), ""))</f>
        <v>90</v>
      </c>
      <c r="G16" s="2">
        <f>IF(ISBLANK(Planilha1!F15),"",IFERROR(_xlfn.XLOOKUP(Planilha1!F15, conversao_direcao!$A:$A, conversao_direcao!$B:$B), ""))</f>
        <v>90</v>
      </c>
      <c r="H16" s="2">
        <f>IF(ISBLANK(Planilha1!G15),"",IFERROR(_xlfn.XLOOKUP(Planilha1!G15, conversao_direcao!$A:$A, conversao_direcao!$B:$B), ""))</f>
        <v>90</v>
      </c>
      <c r="I16" s="2">
        <f>IF(ISBLANK(Planilha1!H15),"",IFERROR(_xlfn.XLOOKUP(Planilha1!H15, conversao_direcao!$A:$A, conversao_direcao!$B:$B), ""))</f>
        <v>90</v>
      </c>
      <c r="J16" s="2">
        <f>IF(ISBLANK(Planilha1!I15),"",IFERROR(_xlfn.XLOOKUP(Planilha1!I15, conversao_direcao!$A:$A, conversao_direcao!$B:$B), ""))</f>
        <v>90</v>
      </c>
      <c r="L16">
        <f t="shared" si="5"/>
        <v>2011</v>
      </c>
      <c r="M16" s="1">
        <f t="shared" si="0"/>
        <v>75</v>
      </c>
      <c r="N16" s="1">
        <f t="shared" si="1"/>
        <v>75</v>
      </c>
      <c r="O16" s="1">
        <f t="shared" si="2"/>
        <v>90</v>
      </c>
      <c r="P16" s="1">
        <f t="shared" si="3"/>
        <v>90</v>
      </c>
    </row>
    <row r="17" spans="2:16" x14ac:dyDescent="0.3">
      <c r="B17">
        <f t="shared" si="4"/>
        <v>2012</v>
      </c>
      <c r="C17" s="2">
        <f>IF(ISBLANK(Planilha1!B16),"",IFERROR(_xlfn.XLOOKUP(Planilha1!B16, conversao_direcao!$A:$A, conversao_direcao!$B:$B), ""))</f>
        <v>0</v>
      </c>
      <c r="D17" s="2">
        <f>IF(ISBLANK(Planilha1!C16),"",IFERROR(_xlfn.XLOOKUP(Planilha1!C16, conversao_direcao!$A:$A, conversao_direcao!$B:$B), ""))</f>
        <v>90</v>
      </c>
      <c r="E17" s="2">
        <f>IF(ISBLANK(Planilha1!D16),"",IFERROR(_xlfn.XLOOKUP(Planilha1!D16, conversao_direcao!$A:$A, conversao_direcao!$B:$B), ""))</f>
        <v>90</v>
      </c>
      <c r="F17" s="2">
        <f>IF(ISBLANK(Planilha1!E16),"",IFERROR(_xlfn.XLOOKUP(Planilha1!E16, conversao_direcao!$A:$A, conversao_direcao!$B:$B), ""))</f>
        <v>90</v>
      </c>
      <c r="G17" s="2">
        <f>IF(ISBLANK(Planilha1!F16),"",IFERROR(_xlfn.XLOOKUP(Planilha1!F16, conversao_direcao!$A:$A, conversao_direcao!$B:$B), ""))</f>
        <v>90</v>
      </c>
      <c r="H17" s="2">
        <f>IF(ISBLANK(Planilha1!G16),"",IFERROR(_xlfn.XLOOKUP(Planilha1!G16, conversao_direcao!$A:$A, conversao_direcao!$B:$B), ""))</f>
        <v>0</v>
      </c>
      <c r="I17" s="2">
        <f>IF(ISBLANK(Planilha1!H16),"",IFERROR(_xlfn.XLOOKUP(Planilha1!H16, conversao_direcao!$A:$A, conversao_direcao!$B:$B), ""))</f>
        <v>90</v>
      </c>
      <c r="J17" s="2">
        <f>IF(ISBLANK(Planilha1!I16),"",IFERROR(_xlfn.XLOOKUP(Planilha1!I16, conversao_direcao!$A:$A, conversao_direcao!$B:$B), ""))</f>
        <v>90</v>
      </c>
      <c r="L17">
        <f t="shared" si="5"/>
        <v>2012</v>
      </c>
      <c r="M17" s="1">
        <f t="shared" si="0"/>
        <v>60</v>
      </c>
      <c r="N17" s="1">
        <f t="shared" si="1"/>
        <v>90</v>
      </c>
      <c r="O17" s="1">
        <f t="shared" si="2"/>
        <v>60</v>
      </c>
      <c r="P17" s="1">
        <f t="shared" si="3"/>
        <v>60</v>
      </c>
    </row>
    <row r="18" spans="2:16" x14ac:dyDescent="0.3">
      <c r="B18">
        <f t="shared" si="4"/>
        <v>2013</v>
      </c>
      <c r="C18" s="2">
        <f>IF(ISBLANK(Planilha1!B17),"",IFERROR(_xlfn.XLOOKUP(Planilha1!B17, conversao_direcao!$A:$A, conversao_direcao!$B:$B), ""))</f>
        <v>270</v>
      </c>
      <c r="D18" s="2">
        <f>IF(ISBLANK(Planilha1!C17),"",IFERROR(_xlfn.XLOOKUP(Planilha1!C17, conversao_direcao!$A:$A, conversao_direcao!$B:$B), ""))</f>
        <v>90</v>
      </c>
      <c r="E18" s="2">
        <f>IF(ISBLANK(Planilha1!D17),"",IFERROR(_xlfn.XLOOKUP(Planilha1!D17, conversao_direcao!$A:$A, conversao_direcao!$B:$B), ""))</f>
        <v>90</v>
      </c>
      <c r="F18" s="2">
        <f>IF(ISBLANK(Planilha1!E17),"",IFERROR(_xlfn.XLOOKUP(Planilha1!E17, conversao_direcao!$A:$A, conversao_direcao!$B:$B), ""))</f>
        <v>90</v>
      </c>
      <c r="G18" s="2">
        <f>IF(ISBLANK(Planilha1!F17),"",IFERROR(_xlfn.XLOOKUP(Planilha1!F17, conversao_direcao!$A:$A, conversao_direcao!$B:$B), ""))</f>
        <v>180</v>
      </c>
      <c r="H18" s="2">
        <f>IF(ISBLANK(Planilha1!G17),"",IFERROR(_xlfn.XLOOKUP(Planilha1!G17, conversao_direcao!$A:$A, conversao_direcao!$B:$B), ""))</f>
        <v>90</v>
      </c>
      <c r="I18" s="2">
        <f>IF(ISBLANK(Planilha1!H17),"",IFERROR(_xlfn.XLOOKUP(Planilha1!H17, conversao_direcao!$A:$A, conversao_direcao!$B:$B), ""))</f>
        <v>90</v>
      </c>
      <c r="J18" s="2">
        <f>IF(ISBLANK(Planilha1!I17),"",IFERROR(_xlfn.XLOOKUP(Planilha1!I17, conversao_direcao!$A:$A, conversao_direcao!$B:$B), ""))</f>
        <v>90</v>
      </c>
      <c r="L18">
        <f t="shared" si="5"/>
        <v>2013</v>
      </c>
      <c r="M18" s="1">
        <f t="shared" si="0"/>
        <v>150</v>
      </c>
      <c r="N18" s="1">
        <f t="shared" si="1"/>
        <v>90</v>
      </c>
      <c r="O18" s="1">
        <f t="shared" si="2"/>
        <v>120</v>
      </c>
      <c r="P18" s="1">
        <f t="shared" si="3"/>
        <v>90</v>
      </c>
    </row>
    <row r="19" spans="2:16" x14ac:dyDescent="0.3">
      <c r="B19">
        <f t="shared" si="4"/>
        <v>2014</v>
      </c>
      <c r="C19" s="2">
        <f>IF(ISBLANK(Planilha1!B18),"",IFERROR(_xlfn.XLOOKUP(Planilha1!B18, conversao_direcao!$A:$A, conversao_direcao!$B:$B), ""))</f>
        <v>135</v>
      </c>
      <c r="D19" s="2">
        <f>IF(ISBLANK(Planilha1!C18),"",IFERROR(_xlfn.XLOOKUP(Planilha1!C18, conversao_direcao!$A:$A, conversao_direcao!$B:$B), ""))</f>
        <v>90</v>
      </c>
      <c r="E19" s="2">
        <f>IF(ISBLANK(Planilha1!D18),"",IFERROR(_xlfn.XLOOKUP(Planilha1!D18, conversao_direcao!$A:$A, conversao_direcao!$B:$B), ""))</f>
        <v>90</v>
      </c>
      <c r="F19" s="2">
        <f>IF(ISBLANK(Planilha1!E18),"",IFERROR(_xlfn.XLOOKUP(Planilha1!E18, conversao_direcao!$A:$A, conversao_direcao!$B:$B), ""))</f>
        <v>90</v>
      </c>
      <c r="G19" s="2">
        <f>IF(ISBLANK(Planilha1!F18),"",IFERROR(_xlfn.XLOOKUP(Planilha1!F18, conversao_direcao!$A:$A, conversao_direcao!$B:$B), ""))</f>
        <v>90</v>
      </c>
      <c r="H19" s="2">
        <f>IF(ISBLANK(Planilha1!G18),"",IFERROR(_xlfn.XLOOKUP(Planilha1!G18, conversao_direcao!$A:$A, conversao_direcao!$B:$B), ""))</f>
        <v>90</v>
      </c>
      <c r="I19" s="2">
        <f>IF(ISBLANK(Planilha1!H18),"",IFERROR(_xlfn.XLOOKUP(Planilha1!H18, conversao_direcao!$A:$A, conversao_direcao!$B:$B), ""))</f>
        <v>90</v>
      </c>
      <c r="J19" s="2" t="str">
        <f>IF(ISBLANK(Planilha1!I18),"",IFERROR(_xlfn.XLOOKUP(Planilha1!I18, conversao_direcao!$A:$A, conversao_direcao!$B:$B), ""))</f>
        <v/>
      </c>
      <c r="L19">
        <f t="shared" si="5"/>
        <v>2014</v>
      </c>
      <c r="M19" s="1">
        <f t="shared" si="0"/>
        <v>105</v>
      </c>
      <c r="N19" s="1">
        <f t="shared" si="1"/>
        <v>90</v>
      </c>
      <c r="O19" s="1">
        <f t="shared" si="2"/>
        <v>90</v>
      </c>
      <c r="P19" s="1">
        <f t="shared" si="3"/>
        <v>90</v>
      </c>
    </row>
    <row r="20" spans="2:16" x14ac:dyDescent="0.3">
      <c r="B20">
        <f t="shared" si="4"/>
        <v>2015</v>
      </c>
      <c r="C20" s="2">
        <f>IF(ISBLANK(Planilha1!B19),"",IFERROR(_xlfn.XLOOKUP(Planilha1!B19, conversao_direcao!$A:$A, conversao_direcao!$B:$B), ""))</f>
        <v>135</v>
      </c>
      <c r="D20" s="2">
        <f>IF(ISBLANK(Planilha1!C19),"",IFERROR(_xlfn.XLOOKUP(Planilha1!C19, conversao_direcao!$A:$A, conversao_direcao!$B:$B), ""))</f>
        <v>90</v>
      </c>
      <c r="E20" s="2">
        <f>IF(ISBLANK(Planilha1!D19),"",IFERROR(_xlfn.XLOOKUP(Planilha1!D19, conversao_direcao!$A:$A, conversao_direcao!$B:$B), ""))</f>
        <v>0</v>
      </c>
      <c r="F20" s="2">
        <f>IF(ISBLANK(Planilha1!E19),"",IFERROR(_xlfn.XLOOKUP(Planilha1!E19, conversao_direcao!$A:$A, conversao_direcao!$B:$B), ""))</f>
        <v>90</v>
      </c>
      <c r="G20" s="2">
        <f>IF(ISBLANK(Planilha1!F19),"",IFERROR(_xlfn.XLOOKUP(Planilha1!F19, conversao_direcao!$A:$A, conversao_direcao!$B:$B), ""))</f>
        <v>90</v>
      </c>
      <c r="H20" s="2">
        <f>IF(ISBLANK(Planilha1!G19),"",IFERROR(_xlfn.XLOOKUP(Planilha1!G19, conversao_direcao!$A:$A, conversao_direcao!$B:$B), ""))</f>
        <v>90</v>
      </c>
      <c r="I20" s="2">
        <f>IF(ISBLANK(Planilha1!H19),"",IFERROR(_xlfn.XLOOKUP(Planilha1!H19, conversao_direcao!$A:$A, conversao_direcao!$B:$B), ""))</f>
        <v>90</v>
      </c>
      <c r="J20" s="2">
        <f>IF(ISBLANK(Planilha1!I19),"",IFERROR(_xlfn.XLOOKUP(Planilha1!I19, conversao_direcao!$A:$A, conversao_direcao!$B:$B), ""))</f>
        <v>90</v>
      </c>
      <c r="L20">
        <f t="shared" si="5"/>
        <v>2015</v>
      </c>
      <c r="M20" s="1">
        <f t="shared" si="0"/>
        <v>75</v>
      </c>
      <c r="N20" s="1">
        <f t="shared" si="1"/>
        <v>60</v>
      </c>
      <c r="O20" s="1">
        <f t="shared" si="2"/>
        <v>90</v>
      </c>
      <c r="P20" s="1">
        <f t="shared" si="3"/>
        <v>90</v>
      </c>
    </row>
    <row r="21" spans="2:16" x14ac:dyDescent="0.3">
      <c r="B21">
        <f t="shared" si="4"/>
        <v>2016</v>
      </c>
      <c r="C21" s="2" t="str">
        <f>IF(ISBLANK(Planilha1!B20),"",IFERROR(_xlfn.XLOOKUP(Planilha1!B20, conversao_direcao!$A:$A, conversao_direcao!$B:$B), ""))</f>
        <v/>
      </c>
      <c r="D21" s="2">
        <f>IF(ISBLANK(Planilha1!C20),"",IFERROR(_xlfn.XLOOKUP(Planilha1!C20, conversao_direcao!$A:$A, conversao_direcao!$B:$B), ""))</f>
        <v>135</v>
      </c>
      <c r="E21" s="2">
        <f>IF(ISBLANK(Planilha1!D20),"",IFERROR(_xlfn.XLOOKUP(Planilha1!D20, conversao_direcao!$A:$A, conversao_direcao!$B:$B), ""))</f>
        <v>0</v>
      </c>
      <c r="F21" s="2">
        <f>IF(ISBLANK(Planilha1!E20),"",IFERROR(_xlfn.XLOOKUP(Planilha1!E20, conversao_direcao!$A:$A, conversao_direcao!$B:$B), ""))</f>
        <v>90</v>
      </c>
      <c r="G21" s="2">
        <f>IF(ISBLANK(Planilha1!F20),"",IFERROR(_xlfn.XLOOKUP(Planilha1!F20, conversao_direcao!$A:$A, conversao_direcao!$B:$B), ""))</f>
        <v>90</v>
      </c>
      <c r="H21" s="2">
        <f>IF(ISBLANK(Planilha1!G20),"",IFERROR(_xlfn.XLOOKUP(Planilha1!G20, conversao_direcao!$A:$A, conversao_direcao!$B:$B), ""))</f>
        <v>180</v>
      </c>
      <c r="I21" s="2">
        <f>IF(ISBLANK(Planilha1!H20),"",IFERROR(_xlfn.XLOOKUP(Planilha1!H20, conversao_direcao!$A:$A, conversao_direcao!$B:$B), ""))</f>
        <v>90</v>
      </c>
      <c r="J21" s="2">
        <f>IF(ISBLANK(Planilha1!I20),"",IFERROR(_xlfn.XLOOKUP(Planilha1!I20, conversao_direcao!$A:$A, conversao_direcao!$B:$B), ""))</f>
        <v>180</v>
      </c>
      <c r="L21">
        <f t="shared" si="5"/>
        <v>2016</v>
      </c>
      <c r="M21" s="1">
        <f t="shared" si="0"/>
        <v>67.5</v>
      </c>
      <c r="N21" s="1">
        <f t="shared" si="1"/>
        <v>75</v>
      </c>
      <c r="O21" s="1">
        <f t="shared" si="2"/>
        <v>120</v>
      </c>
      <c r="P21" s="1">
        <f t="shared" si="3"/>
        <v>150</v>
      </c>
    </row>
    <row r="22" spans="2:16" x14ac:dyDescent="0.3">
      <c r="B22">
        <f>B21+1</f>
        <v>2017</v>
      </c>
      <c r="C22" s="2">
        <f>IF(ISBLANK(Planilha1!B21),"",IFERROR(_xlfn.XLOOKUP(Planilha1!B21, conversao_direcao!$A:$A, conversao_direcao!$B:$B), ""))</f>
        <v>180</v>
      </c>
      <c r="D22" s="2">
        <f>IF(ISBLANK(Planilha1!C21),"",IFERROR(_xlfn.XLOOKUP(Planilha1!C21, conversao_direcao!$A:$A, conversao_direcao!$B:$B), ""))</f>
        <v>90</v>
      </c>
      <c r="E22" s="2">
        <f>IF(ISBLANK(Planilha1!D21),"",IFERROR(_xlfn.XLOOKUP(Planilha1!D21, conversao_direcao!$A:$A, conversao_direcao!$B:$B), ""))</f>
        <v>90</v>
      </c>
      <c r="F22" s="2">
        <f>IF(ISBLANK(Planilha1!E21),"",IFERROR(_xlfn.XLOOKUP(Planilha1!E21, conversao_direcao!$A:$A, conversao_direcao!$B:$B), ""))</f>
        <v>180</v>
      </c>
      <c r="G22" s="2">
        <f>IF(ISBLANK(Planilha1!F21),"",IFERROR(_xlfn.XLOOKUP(Planilha1!F21, conversao_direcao!$A:$A, conversao_direcao!$B:$B), ""))</f>
        <v>180</v>
      </c>
      <c r="H22" s="2">
        <f>IF(ISBLANK(Planilha1!G21),"",IFERROR(_xlfn.XLOOKUP(Planilha1!G21, conversao_direcao!$A:$A, conversao_direcao!$B:$B), ""))</f>
        <v>90</v>
      </c>
      <c r="I22" s="2">
        <f>IF(ISBLANK(Planilha1!H21),"",IFERROR(_xlfn.XLOOKUP(Planilha1!H21, conversao_direcao!$A:$A, conversao_direcao!$B:$B), ""))</f>
        <v>90</v>
      </c>
      <c r="J22" s="2">
        <f>IF(ISBLANK(Planilha1!I21),"",IFERROR(_xlfn.XLOOKUP(Planilha1!I21, conversao_direcao!$A:$A, conversao_direcao!$B:$B), ""))</f>
        <v>180</v>
      </c>
      <c r="L22">
        <f>L21+1</f>
        <v>2017</v>
      </c>
      <c r="M22" s="1">
        <f t="shared" si="0"/>
        <v>120</v>
      </c>
      <c r="N22" s="1">
        <f t="shared" si="1"/>
        <v>120</v>
      </c>
      <c r="O22" s="1">
        <f t="shared" si="2"/>
        <v>120</v>
      </c>
      <c r="P22" s="1">
        <f t="shared" si="3"/>
        <v>120</v>
      </c>
    </row>
    <row r="23" spans="2:16" x14ac:dyDescent="0.3">
      <c r="B23">
        <f t="shared" si="4"/>
        <v>2018</v>
      </c>
      <c r="C23" s="2">
        <f>IF(ISBLANK(Planilha1!B22),"",IFERROR(_xlfn.XLOOKUP(Planilha1!B22, conversao_direcao!$A:$A, conversao_direcao!$B:$B), ""))</f>
        <v>180</v>
      </c>
      <c r="D23" s="2">
        <f>IF(ISBLANK(Planilha1!C22),"",IFERROR(_xlfn.XLOOKUP(Planilha1!C22, conversao_direcao!$A:$A, conversao_direcao!$B:$B), ""))</f>
        <v>180</v>
      </c>
      <c r="E23" s="2">
        <f>IF(ISBLANK(Planilha1!D22),"",IFERROR(_xlfn.XLOOKUP(Planilha1!D22, conversao_direcao!$A:$A, conversao_direcao!$B:$B), ""))</f>
        <v>180</v>
      </c>
      <c r="F23" s="2">
        <f>IF(ISBLANK(Planilha1!E22),"",IFERROR(_xlfn.XLOOKUP(Planilha1!E22, conversao_direcao!$A:$A, conversao_direcao!$B:$B), ""))</f>
        <v>90</v>
      </c>
      <c r="G23" s="2">
        <f>IF(ISBLANK(Planilha1!F22),"",IFERROR(_xlfn.XLOOKUP(Planilha1!F22, conversao_direcao!$A:$A, conversao_direcao!$B:$B), ""))</f>
        <v>90</v>
      </c>
      <c r="H23" s="2">
        <f>IF(ISBLANK(Planilha1!G22),"",IFERROR(_xlfn.XLOOKUP(Planilha1!G22, conversao_direcao!$A:$A, conversao_direcao!$B:$B), ""))</f>
        <v>90</v>
      </c>
      <c r="I23" s="2">
        <f>IF(ISBLANK(Planilha1!H22),"",IFERROR(_xlfn.XLOOKUP(Planilha1!H22, conversao_direcao!$A:$A, conversao_direcao!$B:$B), ""))</f>
        <v>90</v>
      </c>
      <c r="J23" s="2">
        <f>IF(ISBLANK(Planilha1!I22),"",IFERROR(_xlfn.XLOOKUP(Planilha1!I22, conversao_direcao!$A:$A, conversao_direcao!$B:$B), ""))</f>
        <v>180</v>
      </c>
      <c r="L23">
        <f t="shared" si="5"/>
        <v>2018</v>
      </c>
      <c r="M23" s="1">
        <f t="shared" si="0"/>
        <v>180</v>
      </c>
      <c r="N23" s="1">
        <f t="shared" si="1"/>
        <v>150</v>
      </c>
      <c r="O23" s="1">
        <f t="shared" si="2"/>
        <v>90</v>
      </c>
      <c r="P23" s="1">
        <f t="shared" si="3"/>
        <v>120</v>
      </c>
    </row>
    <row r="25" spans="2:16" x14ac:dyDescent="0.3">
      <c r="L25" t="s">
        <v>30</v>
      </c>
      <c r="M25" s="5">
        <f>AVERAGE(M3:M23)</f>
        <v>101.42857142857143</v>
      </c>
      <c r="N25" s="5">
        <f t="shared" ref="N25:P25" si="6">AVERAGE(N3:N23)</f>
        <v>99.285714285714292</v>
      </c>
      <c r="O25" s="5">
        <f t="shared" si="6"/>
        <v>85.714285714285708</v>
      </c>
      <c r="P25" s="5">
        <f t="shared" si="6"/>
        <v>89.642857142857139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5BAE-BAF3-41D5-AB0C-E98CEF65A7D4}">
  <dimension ref="A1:I22"/>
  <sheetViews>
    <sheetView workbookViewId="0">
      <selection activeCell="B3" sqref="B3"/>
    </sheetView>
  </sheetViews>
  <sheetFormatPr defaultRowHeight="14.4" x14ac:dyDescent="0.3"/>
  <cols>
    <col min="2" max="2" width="23.33203125" customWidth="1"/>
  </cols>
  <sheetData>
    <row r="1" spans="1:9" x14ac:dyDescent="0.3">
      <c r="A1" s="3" t="s">
        <v>15</v>
      </c>
      <c r="B1" s="3" t="s">
        <v>16</v>
      </c>
      <c r="C1" s="1"/>
      <c r="D1" s="1"/>
      <c r="E1" s="1"/>
      <c r="F1" s="1"/>
      <c r="G1" s="1"/>
      <c r="H1" s="1"/>
      <c r="I1" s="1"/>
    </row>
    <row r="2" spans="1:9" x14ac:dyDescent="0.3">
      <c r="A2" s="4" t="s">
        <v>12</v>
      </c>
      <c r="B2" s="4">
        <v>0</v>
      </c>
      <c r="C2" s="2"/>
      <c r="D2" s="2"/>
      <c r="E2" s="2"/>
      <c r="F2" s="2"/>
      <c r="G2" s="2"/>
      <c r="H2" s="2"/>
      <c r="I2" s="1"/>
    </row>
    <row r="3" spans="1:9" x14ac:dyDescent="0.3">
      <c r="A3" s="4" t="s">
        <v>17</v>
      </c>
      <c r="B3" s="4">
        <v>22.5</v>
      </c>
      <c r="C3" s="2"/>
      <c r="D3" s="2"/>
      <c r="E3" s="2"/>
      <c r="F3" s="2"/>
      <c r="G3" s="2"/>
      <c r="H3" s="2"/>
      <c r="I3" s="1"/>
    </row>
    <row r="4" spans="1:9" x14ac:dyDescent="0.3">
      <c r="A4" s="4" t="s">
        <v>11</v>
      </c>
      <c r="B4" s="4">
        <v>45</v>
      </c>
      <c r="C4" s="2"/>
      <c r="D4" s="2"/>
      <c r="E4" s="2"/>
      <c r="F4" s="2"/>
      <c r="G4" s="2"/>
      <c r="H4" s="2"/>
      <c r="I4" s="1"/>
    </row>
    <row r="5" spans="1:9" x14ac:dyDescent="0.3">
      <c r="A5" s="4" t="s">
        <v>18</v>
      </c>
      <c r="B5" s="4">
        <v>67.5</v>
      </c>
      <c r="C5" s="2"/>
      <c r="D5" s="2"/>
      <c r="E5" s="2"/>
      <c r="F5" s="2"/>
      <c r="G5" s="2"/>
      <c r="H5" s="2"/>
      <c r="I5" s="1"/>
    </row>
    <row r="6" spans="1:9" x14ac:dyDescent="0.3">
      <c r="A6" s="4" t="s">
        <v>8</v>
      </c>
      <c r="B6" s="4">
        <v>90</v>
      </c>
      <c r="C6" s="2"/>
      <c r="D6" s="2"/>
      <c r="E6" s="2"/>
      <c r="F6" s="2"/>
      <c r="G6" s="2"/>
      <c r="H6" s="2"/>
      <c r="I6" s="1"/>
    </row>
    <row r="7" spans="1:9" x14ac:dyDescent="0.3">
      <c r="A7" s="4" t="s">
        <v>19</v>
      </c>
      <c r="B7" s="4">
        <v>112.5</v>
      </c>
      <c r="C7" s="2"/>
      <c r="D7" s="2"/>
      <c r="E7" s="2"/>
      <c r="F7" s="2"/>
      <c r="G7" s="2"/>
      <c r="H7" s="2"/>
      <c r="I7" s="1"/>
    </row>
    <row r="8" spans="1:9" x14ac:dyDescent="0.3">
      <c r="A8" s="4" t="s">
        <v>9</v>
      </c>
      <c r="B8" s="4">
        <v>135</v>
      </c>
      <c r="C8" s="2"/>
      <c r="D8" s="2"/>
      <c r="E8" s="2"/>
      <c r="F8" s="2"/>
      <c r="G8" s="2"/>
      <c r="H8" s="2"/>
      <c r="I8" s="1"/>
    </row>
    <row r="9" spans="1:9" x14ac:dyDescent="0.3">
      <c r="A9" s="4" t="s">
        <v>20</v>
      </c>
      <c r="B9" s="4">
        <v>157.5</v>
      </c>
      <c r="C9" s="2"/>
      <c r="D9" s="2"/>
      <c r="E9" s="2"/>
      <c r="F9" s="2"/>
      <c r="G9" s="2"/>
      <c r="H9" s="2"/>
      <c r="I9" s="1"/>
    </row>
    <row r="10" spans="1:9" x14ac:dyDescent="0.3">
      <c r="A10" s="4" t="s">
        <v>7</v>
      </c>
      <c r="B10" s="4">
        <v>180</v>
      </c>
      <c r="C10" s="2"/>
      <c r="D10" s="2"/>
      <c r="E10" s="2"/>
      <c r="F10" s="2"/>
      <c r="G10" s="2"/>
      <c r="H10" s="2"/>
      <c r="I10" s="1"/>
    </row>
    <row r="11" spans="1:9" x14ac:dyDescent="0.3">
      <c r="A11" s="4" t="s">
        <v>21</v>
      </c>
      <c r="B11" s="4">
        <v>202.5</v>
      </c>
      <c r="C11" s="2"/>
      <c r="D11" s="2"/>
      <c r="E11" s="2"/>
      <c r="F11" s="2"/>
      <c r="G11" s="2"/>
      <c r="H11" s="2"/>
      <c r="I11" s="1"/>
    </row>
    <row r="12" spans="1:9" x14ac:dyDescent="0.3">
      <c r="A12" s="4" t="s">
        <v>13</v>
      </c>
      <c r="B12" s="4">
        <v>225</v>
      </c>
      <c r="C12" s="2"/>
      <c r="D12" s="2"/>
      <c r="E12" s="2"/>
      <c r="F12" s="2"/>
      <c r="G12" s="2"/>
      <c r="H12" s="2"/>
      <c r="I12" s="1"/>
    </row>
    <row r="13" spans="1:9" x14ac:dyDescent="0.3">
      <c r="A13" s="4" t="s">
        <v>22</v>
      </c>
      <c r="B13" s="4">
        <v>247.5</v>
      </c>
      <c r="C13" s="2"/>
      <c r="D13" s="2"/>
      <c r="E13" s="2"/>
      <c r="F13" s="2"/>
      <c r="G13" s="2"/>
      <c r="H13" s="2"/>
      <c r="I13" s="1"/>
    </row>
    <row r="14" spans="1:9" x14ac:dyDescent="0.3">
      <c r="A14" s="4" t="s">
        <v>10</v>
      </c>
      <c r="B14" s="4">
        <v>270</v>
      </c>
      <c r="C14" s="2"/>
      <c r="D14" s="2"/>
      <c r="E14" s="2"/>
      <c r="F14" s="2"/>
      <c r="G14" s="2"/>
      <c r="H14" s="2"/>
      <c r="I14" s="1"/>
    </row>
    <row r="15" spans="1:9" x14ac:dyDescent="0.3">
      <c r="A15" s="4" t="s">
        <v>23</v>
      </c>
      <c r="B15" s="4">
        <v>292.5</v>
      </c>
      <c r="C15" s="2"/>
      <c r="D15" s="2"/>
      <c r="E15" s="2"/>
      <c r="F15" s="2"/>
      <c r="G15" s="2"/>
      <c r="H15" s="2"/>
      <c r="I15" s="1"/>
    </row>
    <row r="16" spans="1:9" x14ac:dyDescent="0.3">
      <c r="A16" s="4" t="s">
        <v>24</v>
      </c>
      <c r="B16" s="4">
        <v>315</v>
      </c>
      <c r="C16" s="2"/>
      <c r="D16" s="2"/>
      <c r="E16" s="2"/>
      <c r="F16" s="2"/>
      <c r="G16" s="2"/>
      <c r="H16" s="2"/>
      <c r="I16" s="1"/>
    </row>
    <row r="17" spans="1:9" x14ac:dyDescent="0.3">
      <c r="A17" s="4" t="s">
        <v>25</v>
      </c>
      <c r="B17" s="4">
        <v>337.5</v>
      </c>
      <c r="C17" s="2"/>
      <c r="D17" s="2"/>
      <c r="E17" s="2"/>
      <c r="F17" s="2"/>
      <c r="G17" s="2"/>
      <c r="H17" s="2"/>
      <c r="I17" s="1"/>
    </row>
    <row r="18" spans="1:9" x14ac:dyDescent="0.3">
      <c r="B18" s="2"/>
      <c r="C18" s="2"/>
      <c r="D18" s="2"/>
      <c r="E18" s="2"/>
      <c r="F18" s="2"/>
      <c r="G18" s="2"/>
      <c r="H18" s="2"/>
      <c r="I18" s="1"/>
    </row>
    <row r="19" spans="1:9" x14ac:dyDescent="0.3">
      <c r="B19" s="2"/>
      <c r="C19" s="2"/>
      <c r="D19" s="2"/>
      <c r="E19" s="2"/>
      <c r="F19" s="2"/>
      <c r="G19" s="2"/>
      <c r="H19" s="2"/>
      <c r="I19" s="1"/>
    </row>
    <row r="20" spans="1:9" x14ac:dyDescent="0.3">
      <c r="B20" s="2"/>
      <c r="C20" s="2"/>
      <c r="D20" s="2"/>
      <c r="E20" s="2"/>
      <c r="F20" s="2"/>
      <c r="G20" s="2"/>
      <c r="H20" s="2"/>
      <c r="I20" s="1"/>
    </row>
    <row r="21" spans="1:9" x14ac:dyDescent="0.3">
      <c r="B21" s="2"/>
      <c r="C21" s="2"/>
      <c r="D21" s="2"/>
      <c r="E21" s="2"/>
      <c r="F21" s="2"/>
      <c r="G21" s="2"/>
      <c r="H21" s="2"/>
      <c r="I21" s="1"/>
    </row>
    <row r="22" spans="1:9" x14ac:dyDescent="0.3">
      <c r="B22" s="2"/>
      <c r="C22" s="2"/>
      <c r="D22" s="2"/>
      <c r="E22" s="2"/>
      <c r="F22" s="2"/>
      <c r="G22" s="2"/>
      <c r="H22" s="2"/>
      <c r="I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medias</vt:lpstr>
      <vt:lpstr>conversao_direcao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Coelho</dc:creator>
  <cp:lastModifiedBy>Augusto Coelho</cp:lastModifiedBy>
  <dcterms:created xsi:type="dcterms:W3CDTF">2026-01-29T14:19:47Z</dcterms:created>
  <dcterms:modified xsi:type="dcterms:W3CDTF">2026-01-29T16:58:29Z</dcterms:modified>
</cp:coreProperties>
</file>